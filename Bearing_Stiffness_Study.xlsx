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Inputs" sheetId="2" state="visible" r:id="rId4"/>
    <sheet name="Diagnostics" sheetId="3" state="visible" r:id="rId5"/>
    <sheet name="Step1_Cantilever" sheetId="4" state="visible" r:id="rId6"/>
    <sheet name="Step2_CBUSH" sheetId="5" state="visible" r:id="rId7"/>
    <sheet name="Step3_Plate" sheetId="6" state="visible" r:id="rId8"/>
    <sheet name="Step4_SpacedPair" sheetId="7" state="visible" r:id="rId9"/>
    <sheet name="Step4_Sweep" sheetId="8" state="visible" r:id="rId10"/>
    <sheet name="FEM_Compare" sheetId="9" state="visible" r:id="rId11"/>
  </sheets>
  <definedNames>
    <definedName function="false" hidden="false" name="c_A" vbProcedure="false">Step1_Cantilever!$B$5</definedName>
    <definedName function="false" hidden="false" name="c_cb" vbProcedure="false">Step1_Cantilever!$B$16</definedName>
    <definedName function="false" hidden="false" name="c_cba" vbProcedure="false">Step1_Cantilever!$B$17</definedName>
    <definedName function="false" hidden="false" name="c_cbt" vbProcedure="false">Step1_Cantilever!$B$18</definedName>
    <definedName function="false" hidden="false" name="c_G" vbProcedure="false">Step1_Cantilever!$B$8</definedName>
    <definedName function="false" hidden="false" name="c_I" vbProcedure="false">Step1_Cantilever!$B$6</definedName>
    <definedName function="false" hidden="false" name="c_J" vbProcedure="false">Step1_Cantilever!$B$7</definedName>
    <definedName function="false" hidden="false" name="c_Jeff" vbProcedure="false">Step1_Cantilever!$B$14</definedName>
    <definedName function="false" hidden="false" name="c_M" vbProcedure="false">Step1_Cantilever!$B$11</definedName>
    <definedName function="false" hidden="false" name="c_max" vbProcedure="false">Step1_Cantilever!$B$13</definedName>
    <definedName function="false" hidden="false" name="c_mb" vbProcedure="false">Step1_Cantilever!$B$10</definedName>
    <definedName function="false" hidden="false" name="c_mlat" vbProcedure="false">Step1_Cantilever!$B$12</definedName>
    <definedName function="false" hidden="false" name="c_rho" vbProcedure="false">Step1_Cantilever!$B$9</definedName>
    <definedName function="false" hidden="false" name="in_alpha" vbProcedure="false">Inputs!$C$33</definedName>
    <definedName function="false" hidden="false" name="in_ap" vbProcedure="false">Inputs!$C$27</definedName>
    <definedName function="false" hidden="false" name="in_arr" vbProcedure="false">Inputs!$C$35</definedName>
    <definedName function="false" hidden="false" name="in_bp" vbProcedure="false">Inputs!$C$28</definedName>
    <definedName function="false" hidden="false" name="in_chr" vbProcedure="false">Inputs!$C$39</definedName>
    <definedName function="false" hidden="false" name="in_chth" vbProcedure="false">Inputs!$C$38</definedName>
    <definedName function="false" hidden="false" name="in_Db" vbProcedure="false">Inputs!$C$12</definedName>
    <definedName function="false" hidden="false" name="in_Dib" vbProcedure="false">Inputs!$C$13</definedName>
    <definedName function="false" hidden="false" name="in_dm" vbProcedure="false">Inputs!$C$34</definedName>
    <definedName function="false" hidden="false" name="in_Eb" vbProcedure="false">Inputs!$C$9</definedName>
    <definedName function="false" hidden="false" name="in_Ep" vbProcedure="false">Inputs!$C$24</definedName>
    <definedName function="false" hidden="false" name="in_freq" vbProcedure="false">Inputs!$C$5</definedName>
    <definedName function="false" hidden="false" name="in_g" vbProcedure="false">Inputs!$C$6</definedName>
    <definedName function="false" hidden="false" name="in_Jm" vbProcedure="false">Inputs!$C$17</definedName>
    <definedName function="false" hidden="false" name="in_Ka" vbProcedure="false">Inputs!$C$19</definedName>
    <definedName function="false" hidden="false" name="in_ka1" vbProcedure="false">Inputs!$C$30</definedName>
    <definedName function="false" hidden="false" name="in_Kr" vbProcedure="false">Inputs!$C$20</definedName>
    <definedName function="false" hidden="false" name="in_kr1" vbProcedure="false">Inputs!$C$31</definedName>
    <definedName function="false" hidden="false" name="in_Kt" vbProcedure="false">Inputs!$C$22</definedName>
    <definedName function="false" hidden="false" name="in_Kth" vbProcedure="false">Inputs!$C$21</definedName>
    <definedName function="false" hidden="false" name="in_kth1" vbProcedure="false">Inputs!$C$32</definedName>
    <definedName function="false" hidden="false" name="in_Lb" vbProcedure="false">Inputs!$C$14</definedName>
    <definedName function="false" hidden="false" name="in_nub" vbProcedure="false">Inputs!$C$10</definedName>
    <definedName function="false" hidden="false" name="in_nup" vbProcedure="false">Inputs!$C$25</definedName>
    <definedName function="false" hidden="false" name="in_s0" vbProcedure="false">Inputs!$C$36</definedName>
    <definedName function="false" hidden="false" name="in_smax" vbProcedure="false">Inputs!$C$37</definedName>
    <definedName function="false" hidden="false" name="in_tol" vbProcedure="false">Inputs!$C$7</definedName>
    <definedName function="false" hidden="false" name="in_tp" vbProcedure="false">Inputs!$C$26</definedName>
    <definedName function="false" hidden="false" name="in_wb" vbProcedure="false">Inputs!$C$11</definedName>
    <definedName function="false" hidden="false" name="in_Wm" vbProcedure="false">Inputs!$C$16</definedName>
    <definedName function="false" hidden="false" name="p_beta" vbProcedure="false">Step3_Plate!$B$7</definedName>
    <definedName function="false" hidden="false" name="p_D" vbProcedure="false">Step3_Plate!$B$5</definedName>
    <definedName function="false" hidden="false" name="p_G" vbProcedure="false">Step3_Plate!$B$6</definedName>
    <definedName function="false" hidden="false" name="p_Ka" vbProcedure="false">Step3_Plate!$B$10</definedName>
    <definedName function="false" hidden="false" name="p_Kt" vbProcedure="false">Step3_Plate!$B$12</definedName>
    <definedName function="false" hidden="false" name="p_Kth" vbProcedure="false">Step3_Plate!$B$11</definedName>
    <definedName function="false" hidden="false" name="q_cb" vbProcedure="false">Step4_SpacedPair!$B$8</definedName>
    <definedName function="false" hidden="false" name="q_cs" vbProcedure="false">Step4_SpacedPair!$B$19</definedName>
    <definedName function="false" hidden="false" name="q_det" vbProcedure="false">Step4_SpacedPair!$B$18</definedName>
    <definedName function="false" hidden="false" name="q_K11" vbProcedure="false">Step4_SpacedPair!$B$15</definedName>
    <definedName function="false" hidden="false" name="q_K12" vbProcedure="false">Step4_SpacedPair!$B$16</definedName>
    <definedName function="false" hidden="false" name="q_K22" vbProcedure="false">Step4_SpacedPair!$B$17</definedName>
    <definedName function="false" hidden="false" name="q_L" vbProcedure="false">Step4_SpacedPair!$B$7</definedName>
    <definedName function="false" hidden="false" name="q_off" vbProcedure="false">Step4_SpacedPair!$B$5</definedName>
    <definedName function="false" hidden="false" name="q_slc0" vbProcedure="false">Step4_SpacedPair!$B$6</definedName>
    <definedName function="false" hidden="false" name="s1_fax" vbProcedure="false">Step1_Cantilever!$B$24</definedName>
    <definedName function="false" hidden="false" name="s1_flat" vbProcedure="false">Step1_Cantilever!$B$23</definedName>
    <definedName function="false" hidden="false" name="s1_ftor" vbProcedure="false">Step1_Cantilever!$B$25</definedName>
    <definedName function="false" hidden="false" name="s1_kax" vbProcedure="false">Step1_Cantilever!$B$21</definedName>
    <definedName function="false" hidden="false" name="s1_klat" vbProcedure="false">Step1_Cantilever!$B$20</definedName>
    <definedName function="false" hidden="false" name="s1_ktor" vbProcedure="false">Step1_Cantilever!$B$22</definedName>
    <definedName function="false" hidden="false" name="s2_c1" vbProcedure="false">Step2_CBUSH!$B$5</definedName>
    <definedName function="false" hidden="false" name="s2_c2" vbProcedure="false">Step2_CBUSH!$B$6</definedName>
    <definedName function="false" hidden="false" name="s2_c3" vbProcedure="false">Step2_CBUSH!$B$7</definedName>
    <definedName function="false" hidden="false" name="s2_ct" vbProcedure="false">Step2_CBUSH!$B$8</definedName>
    <definedName function="false" hidden="false" name="s2_fax" vbProcedure="false">Step2_CBUSH!$B$17</definedName>
    <definedName function="false" hidden="false" name="s2_flat" vbProcedure="false">Step2_CBUSH!$B$16</definedName>
    <definedName function="false" hidden="false" name="s2_ftor" vbProcedure="false">Step2_CBUSH!$B$18</definedName>
    <definedName function="false" hidden="false" name="s2_kax" vbProcedure="false">Step2_CBUSH!$B$14</definedName>
    <definedName function="false" hidden="false" name="s2_klat" vbProcedure="false">Step2_CBUSH!$B$13</definedName>
    <definedName function="false" hidden="false" name="s2_ktor" vbProcedure="false">Step2_CBUSH!$B$15</definedName>
    <definedName function="false" hidden="false" name="s3_c1" vbProcedure="false">Step3_Plate!$B$14</definedName>
    <definedName function="false" hidden="false" name="s3_c2" vbProcedure="false">Step3_Plate!$B$15</definedName>
    <definedName function="false" hidden="false" name="s3_c3" vbProcedure="false">Step3_Plate!$B$16</definedName>
    <definedName function="false" hidden="false" name="s3_c4" vbProcedure="false">Step3_Plate!$B$17</definedName>
    <definedName function="false" hidden="false" name="s3_ct" vbProcedure="false">Step3_Plate!$B$18</definedName>
    <definedName function="false" hidden="false" name="s3_fax" vbProcedure="false">Step3_Plate!$B$28</definedName>
    <definedName function="false" hidden="false" name="s3_flat" vbProcedure="false">Step3_Plate!$B$27</definedName>
    <definedName function="false" hidden="false" name="s3_ftor" vbProcedure="false">Step3_Plate!$B$29</definedName>
    <definedName function="false" hidden="false" name="s3_kax" vbProcedure="false">Step3_Plate!$B$25</definedName>
    <definedName function="false" hidden="false" name="s3_klat" vbProcedure="false">Step3_Plate!$B$24</definedName>
    <definedName function="false" hidden="false" name="s3_ktor" vbProcedure="false">Step3_Plate!$B$26</definedName>
    <definedName function="false" hidden="false" name="s4_flat" vbProcedure="false">Step4_SpacedPair!$B$21</definedName>
    <definedName function="false" hidden="false" name="s4_klat" vbProcedure="false">Step4_SpacedPair!$B$20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<sst xmlns="http://schemas.openxmlformats.org/spreadsheetml/2006/main" count="551" uniqueCount="341">
  <si>
    <t xml:space="preserve">Bearing stiffness modeling study: hand calcs vs FEM</t>
  </si>
  <si>
    <t xml:space="preserve">Goal: confirm the low first mode is real (not a modeling artifact) before spending on stiffer bearings or geometry, and size the duplex-pair spacing knob.</t>
  </si>
  <si>
    <t xml:space="preserve">UNITS: inch, lbf, second, slinch (lbf·s²/in). Mass = weight / 386.09. Stiffness lbf/in and lbf·in/rad. Frequency Hz.</t>
  </si>
  <si>
    <t xml:space="preserve">CELL LEGEND</t>
  </si>
  <si>
    <t xml:space="preserve">Blue text on light-blue fill = input you edit (Inputs sheet, Diagnostics, sweep).</t>
  </si>
  <si>
    <t xml:space="preserve">Yellow fill = FEM result you paste in after each run.</t>
  </si>
  <si>
    <t xml:space="preserve">Black text = formula. Green text = pulled from another sheet. Do not overwrite.</t>
  </si>
  <si>
    <t xml:space="preserve">All example inputs are PLACEHOLDERS. Replace bearing values with your ORBIS output and geometry with your design.</t>
  </si>
  <si>
    <t xml:space="preserve">ORDER OF WORK</t>
  </si>
  <si>
    <t xml:space="preserve">0. Diagnostics (full model): ESE by property for mode 1, bounding runs (bearings x0.5 / x2 / x10 / rigid, seat RBE2 vs RBE3), mass check. Do this first.</t>
  </si>
  <si>
    <t xml:space="preserve">1. Step1_Cantilever: CBAR beam + tip mass, SPC at base. Checks mesh, units, mass. Expect &lt;1-2% error.</t>
  </si>
  <si>
    <t xml:space="preserve">2. Step2_CBUSH: same, CBUSH (pair 6-DOF diagonal) between base node and ground. Coincident nodes. Shows compliance split beam/radial/tilt.</t>
  </si>
  <si>
    <t xml:space="preserve">3. Step3_Plate: CBUSH to a clamped annular shell plate. 3a RBE2 at bore (matches rigid-hub hand calc), 3b RBE3 at bore, 3c modeled outer ring. 3a/3b brackets the seat attachment error.</t>
  </si>
  <si>
    <t xml:space="preserve">4. Step4_SpacedPair: two single-bearing CBUSHes at load centers, rigid housing. Sweep spacing to see how far the first lateral mode moves.</t>
  </si>
  <si>
    <t xml:space="preserve">5. FEM_Compare: paste FEM results, read the Δ% and status.</t>
  </si>
  <si>
    <t xml:space="preserve">FEM SETUP NOTES (to keep FEM apples-to-apples with the hand calcs)</t>
  </si>
  <si>
    <t xml:space="preserve">• Beam as CBAR, ≥10 elements. Tip mass as CONM2 with no offset; give it only the polar inertia Jm (no rocking inertia) unless you add it to the hand calc.</t>
  </si>
  <si>
    <t xml:space="preserve">• Steps 1-2: base node SPC 123456 (step 1) / CBUSH to grounded coincident node (step 2). Don't give the CBUSH a length.</t>
  </si>
  <si>
    <t xml:space="preserve">• Step 3: set plate density = 0 (hand calc treats the plate as massless). Clamp outer edge 123456. CBUSH node at bore center in plate midplane.</t>
  </si>
  <si>
    <t xml:space="preserve">• Step 3 RBE3: reference node 123456, independent nodes 123 only, uniform weights, all bore-edge nodes.</t>
  </si>
  <si>
    <t xml:space="preserve">• Step 4: rigid (RBE2 or stiff CBAR) shaft between the two load centers, flexible CBAR overhang from outboard load center to mass. Each CBUSH grounded.</t>
  </si>
  <si>
    <t xml:space="preserve">• Torsion about the spin axis is NOT a bearing stiffness. Kt in the inputs is your motor/brake/hold stiffness. Use the same value in FEM.</t>
  </si>
  <si>
    <t xml:space="preserve">HAND-CALC ASSUMPTIONS</t>
  </si>
  <si>
    <t xml:space="preserve">• Lateral: Rayleigh, tip point mass + 33/140 of beam mass. With a soft root the true beam-mass fraction approaches 1/3, so hand calc runs slightly high when the beam mass is not small vs M.</t>
  </si>
  <si>
    <t xml:space="preserve">• Axial: tip mass + 1/3 beam mass. Torsion: Jm + 1/3 beam polar mass inertia.</t>
  </si>
  <si>
    <t xml:space="preserve">• Step 3 plate: Kirchhoff thin plate, outer edge clamped, bore bonded to a rigid hub (= RBE2). Closed forms derived from the biharmonic solution and verified by strain-energy integration:</t>
  </si>
  <si>
    <t xml:space="preserve">      K_axial = 16πD(1-β²) / (a²[(1-β²)² - 4β²ln²β]),   K_tilt = 4πD(1+β²) / ((1+β²)ln(1/β) - (1-β²)),   K_torsion(in-plane) = 4πGt / (1/b² - 1/a²),   β = b/a, D = Et³/12(1-ν²)</t>
  </si>
  <si>
    <t xml:space="preserve">  b→0 axial limit recovers the clamped plate with a central point load (16πD/a²). In-plane radial plate stiffness is neglected (assumed &gt;&gt; bearing radial). Not valid if t/a is large (thick plate, shear deformation).</t>
  </si>
  <si>
    <t xml:space="preserve">• Step 4: shaft between bearings rigid; each bearing = radial spring kr + tilt spring kθ at its load center; load-center span = s ± dm·tanα (+DB, -DF). Approximate; ORBIS gives the exact pair matrix.</t>
  </si>
  <si>
    <t xml:space="preserve">• No coupling (off-diagonal) terms anywhere. If ORBIS shows significant radial-tilt coupling, run Step 2 once with DMIG to measure the effect.</t>
  </si>
  <si>
    <t xml:space="preserve">• Linear, at one preload state. Re-run with hot/cold preload stiffness if thermal preload shift matters.</t>
  </si>
  <si>
    <t xml:space="preserve">SPACING CAVEAT</t>
  </si>
  <si>
    <t xml:space="preserve">Splitting a duplex pair puts preload on spacer length matching and on the shaft/housing axial thermal gradient (CTE mismatch × span). Check preload over the thermal range before committing; a preload loss can give back the stiffness the span bought you.</t>
  </si>
  <si>
    <t xml:space="preserve">Inputs (edit blue cells only)</t>
  </si>
  <si>
    <t xml:space="preserve">Parameter</t>
  </si>
  <si>
    <t xml:space="preserve">Name</t>
  </si>
  <si>
    <t xml:space="preserve">Value</t>
  </si>
  <si>
    <t xml:space="preserve">Units</t>
  </si>
  <si>
    <t xml:space="preserve">Note / source</t>
  </si>
  <si>
    <t xml:space="preserve">General</t>
  </si>
  <si>
    <t xml:space="preserve">First-mode requirement</t>
  </si>
  <si>
    <t xml:space="preserve">in_freq</t>
  </si>
  <si>
    <t xml:space="preserve">Hz</t>
  </si>
  <si>
    <t xml:space="preserve">PLACEHOLDER: your modal requirement</t>
  </si>
  <si>
    <t xml:space="preserve">Gravity</t>
  </si>
  <si>
    <t xml:space="preserve">in_g</t>
  </si>
  <si>
    <t xml:space="preserve">in/s²</t>
  </si>
  <si>
    <t xml:space="preserve">Weight-to-mass conversion</t>
  </si>
  <si>
    <t xml:space="preserve">FEM vs hand-calc tolerance</t>
  </si>
  <si>
    <t xml:space="preserve">in_tol</t>
  </si>
  <si>
    <t xml:space="preserve">-</t>
  </si>
  <si>
    <t xml:space="preserve">Status flags CHECK beyond this</t>
  </si>
  <si>
    <t xml:space="preserve">Beam / shaft arm (round, solid or tube)</t>
  </si>
  <si>
    <t xml:space="preserve">Beam modulus E</t>
  </si>
  <si>
    <t xml:space="preserve">in_Eb</t>
  </si>
  <si>
    <t xml:space="preserve">psi</t>
  </si>
  <si>
    <t xml:space="preserve">PLACEHOLDER: Al 6061-T6</t>
  </si>
  <si>
    <t xml:space="preserve">Beam Poisson ratio</t>
  </si>
  <si>
    <t xml:space="preserve">in_nub</t>
  </si>
  <si>
    <t xml:space="preserve">Beam weight density</t>
  </si>
  <si>
    <t xml:space="preserve">in_wb</t>
  </si>
  <si>
    <t xml:space="preserve">lbf/in³</t>
  </si>
  <si>
    <t xml:space="preserve">Converted to slinch/in³ below</t>
  </si>
  <si>
    <t xml:space="preserve">Beam OD</t>
  </si>
  <si>
    <t xml:space="preserve">in_Db</t>
  </si>
  <si>
    <t xml:space="preserve">in</t>
  </si>
  <si>
    <t xml:space="preserve">PLACEHOLDER</t>
  </si>
  <si>
    <t xml:space="preserve">Beam ID (0 = solid)</t>
  </si>
  <si>
    <t xml:space="preserve">in_Dib</t>
  </si>
  <si>
    <t xml:space="preserve">Arm length: bearing (pair center) to mass</t>
  </si>
  <si>
    <t xml:space="preserve">in_Lb</t>
  </si>
  <si>
    <t xml:space="preserve">Steps 1-3: base/CBUSH point to tip mass</t>
  </si>
  <si>
    <t xml:space="preserve">Tip mass</t>
  </si>
  <si>
    <t xml:space="preserve">Tip weight</t>
  </si>
  <si>
    <t xml:space="preserve">in_Wm</t>
  </si>
  <si>
    <t xml:space="preserve">lbf</t>
  </si>
  <si>
    <t xml:space="preserve">Tip polar mass inertia about beam axis</t>
  </si>
  <si>
    <t xml:space="preserve">in_Jm</t>
  </si>
  <si>
    <t xml:space="preserve">slinch·in²</t>
  </si>
  <si>
    <t xml:space="preserve">PLACEHOLDER: 5 lbf, 4 in dia disk ≈ mr²/2</t>
  </si>
  <si>
    <t xml:space="preserve">Bearing PAIR as one CBUSH (ORBIS 6x6 diagonal, about pair center)</t>
  </si>
  <si>
    <t xml:space="preserve">Pair axial stiffness Ka</t>
  </si>
  <si>
    <t xml:space="preserve">in_Ka</t>
  </si>
  <si>
    <t xml:space="preserve">lbf/in</t>
  </si>
  <si>
    <t xml:space="preserve">PLACEHOLDER: replace with ORBIS</t>
  </si>
  <si>
    <t xml:space="preserve">Pair radial stiffness Kr</t>
  </si>
  <si>
    <t xml:space="preserve">in_Kr</t>
  </si>
  <si>
    <t xml:space="preserve">Pair tilt stiffness Kθ</t>
  </si>
  <si>
    <t xml:space="preserve">in_Kth</t>
  </si>
  <si>
    <t xml:space="preserve">lbf·in/rad</t>
  </si>
  <si>
    <t xml:space="preserve">Spin-axis restraint Kt (motor/brake, NOT bearing)</t>
  </si>
  <si>
    <t xml:space="preserve">in_Kt</t>
  </si>
  <si>
    <t xml:space="preserve">PLACEHOLDER: bearings carry ~0 torque about spin axis</t>
  </si>
  <si>
    <t xml:space="preserve">Plate / housing wall (Step 3)</t>
  </si>
  <si>
    <t xml:space="preserve">Plate modulus E</t>
  </si>
  <si>
    <t xml:space="preserve">in_Ep</t>
  </si>
  <si>
    <t xml:space="preserve">Plate Poisson ratio</t>
  </si>
  <si>
    <t xml:space="preserve">in_nup</t>
  </si>
  <si>
    <t xml:space="preserve">Plate thickness t</t>
  </si>
  <si>
    <t xml:space="preserve">in_tp</t>
  </si>
  <si>
    <t xml:space="preserve">Clamped outer radius a</t>
  </si>
  <si>
    <t xml:space="preserve">in_ap</t>
  </si>
  <si>
    <t xml:space="preserve">Bore radius b (bearing OD / 2)</t>
  </si>
  <si>
    <t xml:space="preserve">in_bp</t>
  </si>
  <si>
    <t xml:space="preserve">Single bearing (Step 4, spaced pair)</t>
  </si>
  <si>
    <t xml:space="preserve">Single-bearing axial stiffness ka</t>
  </si>
  <si>
    <t xml:space="preserve">in_ka1</t>
  </si>
  <si>
    <t xml:space="preserve">PLACEHOLDER: ORBIS single bearing at operating preload</t>
  </si>
  <si>
    <t xml:space="preserve">Single-bearing radial stiffness kr</t>
  </si>
  <si>
    <t xml:space="preserve">in_kr1</t>
  </si>
  <si>
    <t xml:space="preserve">Single-bearing tilt stiffness kθ</t>
  </si>
  <si>
    <t xml:space="preserve">in_kth1</t>
  </si>
  <si>
    <t xml:space="preserve">PLACEHOLDER: often small; set 0 if ORBIS doesn't give it</t>
  </si>
  <si>
    <t xml:space="preserve">Contact angle α</t>
  </si>
  <si>
    <t xml:space="preserve">in_alpha</t>
  </si>
  <si>
    <t xml:space="preserve">deg</t>
  </si>
  <si>
    <t xml:space="preserve">Pitch diameter dm</t>
  </si>
  <si>
    <t xml:space="preserve">in_dm</t>
  </si>
  <si>
    <t xml:space="preserve">PLACEHOLDER: ≈ (bore + OD)/2</t>
  </si>
  <si>
    <t xml:space="preserve">Arrangement: +1 = back-to-back (DB), -1 = face-to-face (DF)</t>
  </si>
  <si>
    <t xml:space="preserve">in_arr</t>
  </si>
  <si>
    <t xml:space="preserve">DB spreads load centers outward</t>
  </si>
  <si>
    <t xml:space="preserve">Baseline bearing center spacing s0 (adjacent)</t>
  </si>
  <si>
    <t xml:space="preserve">in_s0</t>
  </si>
  <si>
    <t xml:space="preserve">PLACEHOLDER: = bearing width when adjacent</t>
  </si>
  <si>
    <t xml:space="preserve">Maximum spacing for sweep</t>
  </si>
  <si>
    <t xml:space="preserve">in_smax</t>
  </si>
  <si>
    <t xml:space="preserve">Upper end of the spacing sweep</t>
  </si>
  <si>
    <t xml:space="preserve">Housing tilt compliance at outboard bearing (0 = rigid)</t>
  </si>
  <si>
    <t xml:space="preserve">in_chth</t>
  </si>
  <si>
    <t xml:space="preserve">rad/(lbf·in)</t>
  </si>
  <si>
    <t xml:space="preserve">Optional: 1/K from Step 3 or FEM of your housing</t>
  </si>
  <si>
    <t xml:space="preserve">Housing radial compliance at outboard bearing (0 = rigid)</t>
  </si>
  <si>
    <t xml:space="preserve">in_chr</t>
  </si>
  <si>
    <t xml:space="preserve">in/lbf</t>
  </si>
  <si>
    <t xml:space="preserve">Optional</t>
  </si>
  <si>
    <t xml:space="preserve">Full-model diagnostics (do these before the ladder)</t>
  </si>
  <si>
    <t xml:space="preserve">1. Mode 1 strain energy by property (ESE output, sum by property group)</t>
  </si>
  <si>
    <t xml:space="preserve">Group</t>
  </si>
  <si>
    <t xml:space="preserve">ESE fraction</t>
  </si>
  <si>
    <t xml:space="preserve">Read</t>
  </si>
  <si>
    <t xml:space="preserve">Bearings (CBUSH / DMIG)</t>
  </si>
  <si>
    <t xml:space="preserve">Housing / seat region</t>
  </si>
  <si>
    <t xml:space="preserve">Shaft</t>
  </si>
  <si>
    <t xml:space="preserve">Bolted interfaces / fasteners</t>
  </si>
  <si>
    <t xml:space="preserve">Payload / optics</t>
  </si>
  <si>
    <t xml:space="preserve">Other</t>
  </si>
  <si>
    <t xml:space="preserve">Sum (should be ~100%)</t>
  </si>
  <si>
    <t xml:space="preserve">2. Bounding runs on mode 1</t>
  </si>
  <si>
    <t xml:space="preserve">Run</t>
  </si>
  <si>
    <t xml:space="preserve">Mode 1 (Hz)</t>
  </si>
  <si>
    <t xml:space="preserve">Δ vs nominal</t>
  </si>
  <si>
    <t xml:space="preserve">% of requirement</t>
  </si>
  <si>
    <t xml:space="preserve">Meets req?</t>
  </si>
  <si>
    <t xml:space="preserve">Nominal</t>
  </si>
  <si>
    <t xml:space="preserve">Bearings x0.5</t>
  </si>
  <si>
    <t xml:space="preserve">Bearings x2</t>
  </si>
  <si>
    <t xml:space="preserve">Bearings x10</t>
  </si>
  <si>
    <t xml:space="preserve">Bearings rigid (RBE2)</t>
  </si>
  <si>
    <t xml:space="preserve">Seat attach RBE2 (vs nominal RBE3)</t>
  </si>
  <si>
    <t xml:space="preserve">Sensitivity exponent n (f ∝ k_bearing^n)</t>
  </si>
  <si>
    <t xml:space="preserve">3. Mass check</t>
  </si>
  <si>
    <t xml:space="preserve">Item</t>
  </si>
  <si>
    <t xml:space="preserve">CAD</t>
  </si>
  <si>
    <t xml:space="preserve">FEM</t>
  </si>
  <si>
    <t xml:space="preserve">Δ</t>
  </si>
  <si>
    <t xml:space="preserve">Total weight (lbf)</t>
  </si>
  <si>
    <t xml:space="preserve">CG x (in)</t>
  </si>
  <si>
    <t xml:space="preserve">CG y (in)</t>
  </si>
  <si>
    <t xml:space="preserve">CG z (in)</t>
  </si>
  <si>
    <t xml:space="preserve">Step 1: cantilever beam + tip mass, rigid base</t>
  </si>
  <si>
    <t xml:space="preserve">Quantity</t>
  </si>
  <si>
    <t xml:space="preserve">Formula / note</t>
  </si>
  <si>
    <t xml:space="preserve">Section and mass properties</t>
  </si>
  <si>
    <t xml:space="preserve">Beam area A</t>
  </si>
  <si>
    <t xml:space="preserve">in²</t>
  </si>
  <si>
    <t xml:space="preserve">π(D²-Di²)/4</t>
  </si>
  <si>
    <t xml:space="preserve">Beam bending inertia I</t>
  </si>
  <si>
    <t xml:space="preserve">in⁴</t>
  </si>
  <si>
    <t xml:space="preserve">π(D⁴-Di⁴)/64</t>
  </si>
  <si>
    <t xml:space="preserve">Beam polar inertia J</t>
  </si>
  <si>
    <t xml:space="preserve">J = 2I (round)</t>
  </si>
  <si>
    <t xml:space="preserve">Beam shear modulus G</t>
  </si>
  <si>
    <t xml:space="preserve">E/2(1+ν)</t>
  </si>
  <si>
    <t xml:space="preserve">Beam mass density ρ</t>
  </si>
  <si>
    <t xml:space="preserve">slinch/in³</t>
  </si>
  <si>
    <t xml:space="preserve">w/g</t>
  </si>
  <si>
    <t xml:space="preserve">Beam mass</t>
  </si>
  <si>
    <t xml:space="preserve">slinch</t>
  </si>
  <si>
    <t xml:space="preserve">ρAL</t>
  </si>
  <si>
    <t xml:space="preserve">Tip mass M</t>
  </si>
  <si>
    <t xml:space="preserve">W/g</t>
  </si>
  <si>
    <t xml:space="preserve">Effective lateral mass</t>
  </si>
  <si>
    <t xml:space="preserve">M + (33/140)m_beam (Rayleigh, fixed root)</t>
  </si>
  <si>
    <t xml:space="preserve">Effective axial mass</t>
  </si>
  <si>
    <t xml:space="preserve">M + m_beam/3</t>
  </si>
  <si>
    <t xml:space="preserve">Effective polar mass inertia</t>
  </si>
  <si>
    <t xml:space="preserve">Jm + ρJL/3</t>
  </si>
  <si>
    <t xml:space="preserve">Beam-only compliances</t>
  </si>
  <si>
    <t xml:space="preserve">Lateral beam compliance</t>
  </si>
  <si>
    <t xml:space="preserve">L³/3EI</t>
  </si>
  <si>
    <t xml:space="preserve">Axial beam compliance</t>
  </si>
  <si>
    <t xml:space="preserve">L/EA</t>
  </si>
  <si>
    <t xml:space="preserve">Torsion beam compliance</t>
  </si>
  <si>
    <t xml:space="preserve">L/GJ</t>
  </si>
  <si>
    <t xml:space="preserve">Step 1 results (rigid base)</t>
  </si>
  <si>
    <t xml:space="preserve">Lateral stiffness at mass</t>
  </si>
  <si>
    <t xml:space="preserve">3EI/L³</t>
  </si>
  <si>
    <t xml:space="preserve">Axial stiffness</t>
  </si>
  <si>
    <t xml:space="preserve">EA/L</t>
  </si>
  <si>
    <t xml:space="preserve">Torsional stiffness</t>
  </si>
  <si>
    <t xml:space="preserve">GJ/L</t>
  </si>
  <si>
    <t xml:space="preserve">First lateral mode</t>
  </si>
  <si>
    <t xml:space="preserve">(1/2π)√(k/m)</t>
  </si>
  <si>
    <t xml:space="preserve">First axial mode</t>
  </si>
  <si>
    <t xml:space="preserve">First torsion mode</t>
  </si>
  <si>
    <t xml:space="preserve">Step 2: CBUSH (pair diagonal) at the beam base</t>
  </si>
  <si>
    <t xml:space="preserve">Lateral compliance chain (series)</t>
  </si>
  <si>
    <t xml:space="preserve">Beam bending</t>
  </si>
  <si>
    <t xml:space="preserve">Bearing radial</t>
  </si>
  <si>
    <t xml:space="preserve">1/Kr</t>
  </si>
  <si>
    <t xml:space="preserve">Bearing tilt (lever)</t>
  </si>
  <si>
    <t xml:space="preserve">L²/Kθ</t>
  </si>
  <si>
    <t xml:space="preserve">Total lateral compliance</t>
  </si>
  <si>
    <t xml:space="preserve">  share: beam</t>
  </si>
  <si>
    <t xml:space="preserve">Hand-calc analog of strain energy fraction</t>
  </si>
  <si>
    <t xml:space="preserve">  share: bearing radial</t>
  </si>
  <si>
    <t xml:space="preserve">  share: bearing tilt</t>
  </si>
  <si>
    <t xml:space="preserve">If this dominates, tilt stiffness (or pair span) is the knob</t>
  </si>
  <si>
    <t xml:space="preserve">Step 2 results</t>
  </si>
  <si>
    <t xml:space="preserve">1/(L³/3EI + 1/Kr + L²/Kθ)</t>
  </si>
  <si>
    <t xml:space="preserve">1/(L/EA + 1/Ka)</t>
  </si>
  <si>
    <t xml:space="preserve">1/(L/GJ + 1/Kt)</t>
  </si>
  <si>
    <t xml:space="preserve">Beam-mass fraction kept at 33/140 (slightly unconservative with soft root)</t>
  </si>
  <si>
    <t xml:space="preserve">Lateral mode drop vs Step 1</t>
  </si>
  <si>
    <t xml:space="preserve">What the bearing alone costs you</t>
  </si>
  <si>
    <t xml:space="preserve">Step 3: CBUSH into a clamped annular plate (housing wall)</t>
  </si>
  <si>
    <t xml:space="preserve">Plate properties</t>
  </si>
  <si>
    <t xml:space="preserve">Plate flexural rigidity D</t>
  </si>
  <si>
    <t xml:space="preserve">lbf·in</t>
  </si>
  <si>
    <t xml:space="preserve">Et³/12(1-ν²)</t>
  </si>
  <si>
    <t xml:space="preserve">Plate shear modulus G</t>
  </si>
  <si>
    <t xml:space="preserve">Radius ratio β = b/a</t>
  </si>
  <si>
    <t xml:space="preserve">Valid for thin plate: check t/a below</t>
  </si>
  <si>
    <t xml:space="preserve">t/a (thin-plate check, want &lt; ~0.1)</t>
  </si>
  <si>
    <t xml:space="preserve">Kirchhoff theory loses accuracy for thick plates</t>
  </si>
  <si>
    <t xml:space="preserve">Rigid-hub (3a, RBE2) plate stiffnesses</t>
  </si>
  <si>
    <t xml:space="preserve">Plate axial stiffness at hub</t>
  </si>
  <si>
    <t xml:space="preserve">16πD(1-β²)/(a²[(1-β²)²-4β²ln²β]); outer clamped, rigid hub</t>
  </si>
  <si>
    <t xml:space="preserve">Plate tilt stiffness at hub</t>
  </si>
  <si>
    <t xml:space="preserve">4πD(1+β²)/((1+β²)ln(1/β)-(1-β²)); independent of a for fixed β</t>
  </si>
  <si>
    <t xml:space="preserve">Plate in-plane torsional stiffness</t>
  </si>
  <si>
    <t xml:space="preserve">4πGt/(1/b²-1/a²)</t>
  </si>
  <si>
    <t xml:space="preserve">Plate tilt (lever)</t>
  </si>
  <si>
    <t xml:space="preserve">L²/Kθ,plate</t>
  </si>
  <si>
    <t xml:space="preserve">Plate in-plane radial compliance neglected</t>
  </si>
  <si>
    <t xml:space="preserve">  share: plate tilt</t>
  </si>
  <si>
    <t xml:space="preserve">If this is big, the housing is the problem, not the bearing</t>
  </si>
  <si>
    <t xml:space="preserve">Step 3a results (rigid hub = RBE2 at bore)</t>
  </si>
  <si>
    <t xml:space="preserve">Massless plate: set plate density 0 in FEM</t>
  </si>
  <si>
    <t xml:space="preserve">Lateral mode drop vs Step 2</t>
  </si>
  <si>
    <t xml:space="preserve">What the housing costs you on top of the bearing</t>
  </si>
  <si>
    <t xml:space="preserve">3b (RBE3) and 3c (modeled ring): FEM only</t>
  </si>
  <si>
    <t xml:space="preserve">No closed form. Expect 3b softer than 3a and 3c in between. Enter results on FEM_Compare.</t>
  </si>
  <si>
    <t xml:space="preserve">If 3a vs 3b differ by &lt; tolerance, the attachment choice doesn't matter for this geometry.</t>
  </si>
  <si>
    <t xml:space="preserve">Step 4: two bearings at a span (rigid housing unless compliance entered)</t>
  </si>
  <si>
    <t xml:space="preserve">Geometry</t>
  </si>
  <si>
    <t xml:space="preserve">Load-center offset per bearing</t>
  </si>
  <si>
    <t xml:space="preserve">(dm/2)·tanα</t>
  </si>
  <si>
    <t xml:space="preserve">Baseline load-center span</t>
  </si>
  <si>
    <t xml:space="preserve">s0 ± dm·tanα (+DB, -DF)</t>
  </si>
  <si>
    <t xml:space="preserve">Overhang: outboard load center to mass</t>
  </si>
  <si>
    <t xml:space="preserve">Held constant in sweep: mass stays put, inboard bearing moves away</t>
  </si>
  <si>
    <t xml:space="preserve">Overhang beam compliance</t>
  </si>
  <si>
    <t xml:space="preserve">Baseline consistency check (vs Inputs pair values)</t>
  </si>
  <si>
    <t xml:space="preserve">Pair radial from singles</t>
  </si>
  <si>
    <t xml:space="preserve">2kr</t>
  </si>
  <si>
    <t xml:space="preserve">  vs Inputs Kr</t>
  </si>
  <si>
    <t xml:space="preserve">Should be near 0 if single and pair data agree</t>
  </si>
  <si>
    <t xml:space="preserve">Pair tilt from singles, about pair center</t>
  </si>
  <si>
    <t xml:space="preserve">kr·s²/2 + 2kθ</t>
  </si>
  <si>
    <t xml:space="preserve">  vs Inputs Kθ</t>
  </si>
  <si>
    <t xml:space="preserve">Large error → your load-center or kθ assumption doesn't match ORBIS</t>
  </si>
  <si>
    <t xml:space="preserve">Baseline (adjacent pair) result</t>
  </si>
  <si>
    <t xml:space="preserve">Support K11 = 2kr</t>
  </si>
  <si>
    <t xml:space="preserve">Stiffness at outboard load center, [y, θ]</t>
  </si>
  <si>
    <t xml:space="preserve">Support K12 = -kr·s</t>
  </si>
  <si>
    <t xml:space="preserve">Support K22 = kr·s² + 2kθ</t>
  </si>
  <si>
    <t xml:space="preserve">det</t>
  </si>
  <si>
    <t xml:space="preserve">Support compliance at mass</t>
  </si>
  <si>
    <t xml:space="preserve">[1 L]·K⁻¹·[1 L]ᵀ + housing</t>
  </si>
  <si>
    <t xml:space="preserve">Runs a bit above Step 2: shaft between load centers is rigid here and the flexible overhang is shorter. FEM must model it the same way.</t>
  </si>
  <si>
    <t xml:space="preserve">Spacing sweep → see Step4_Sweep</t>
  </si>
  <si>
    <t xml:space="preserve">Step 4 sweep: first lateral mode vs bearing spacing</t>
  </si>
  <si>
    <t xml:space="preserve">Spacing steps evenly from s0 to smax (Inputs). Paste FEM frequencies in the yellow column at any spacings you run.</t>
  </si>
  <si>
    <t xml:space="preserve">Bearing center spacing s (in)</t>
  </si>
  <si>
    <t xml:space="preserve">Load-center span (in)</t>
  </si>
  <si>
    <t xml:space="preserve">K22 (lbf·in/rad)</t>
  </si>
  <si>
    <t xml:space="preserve">Support compliance (in/lbf)</t>
  </si>
  <si>
    <t xml:space="preserve">Lateral k at mass (lbf/in)</t>
  </si>
  <si>
    <t xml:space="preserve">f lateral hand (Hz)</t>
  </si>
  <si>
    <t xml:space="preserve">Requirement (Hz)</t>
  </si>
  <si>
    <t xml:space="preserve">f lateral FEM (Hz)</t>
  </si>
  <si>
    <t xml:space="preserve">FEM vs hand</t>
  </si>
  <si>
    <t xml:space="preserve">Tilt share of compliance</t>
  </si>
  <si>
    <t xml:space="preserve">Note: 'Tilt share' = support (bearing + housing) share of total lateral compliance. Once it's small, more span buys nothing; the overhang beam or housing is the limit.</t>
  </si>
  <si>
    <t xml:space="preserve">Hand calc vs FEM</t>
  </si>
  <si>
    <t xml:space="preserve">Paste FEM results in the yellow column. Stiffness = applied unit load / displacement at the mass node. 3b/3c have no hand calc: compare to your 3a FEM.</t>
  </si>
  <si>
    <t xml:space="preserve">Step</t>
  </si>
  <si>
    <t xml:space="preserve">Model</t>
  </si>
  <si>
    <t xml:space="preserve">Metric</t>
  </si>
  <si>
    <t xml:space="preserve">Hand calc</t>
  </si>
  <si>
    <t xml:space="preserve">Δ vs hand</t>
  </si>
  <si>
    <t xml:space="preserve">Status</t>
  </si>
  <si>
    <t xml:space="preserve">Δ vs 3a FEM</t>
  </si>
  <si>
    <t xml:space="preserve">Notes</t>
  </si>
  <si>
    <t xml:space="preserve">1</t>
  </si>
  <si>
    <t xml:space="preserve">Cantilever, rigid base</t>
  </si>
  <si>
    <t xml:space="preserve">Lateral k (lbf/in)</t>
  </si>
  <si>
    <t xml:space="preserve">Should match within ~1-2%; if not, fix mesh/units/mass first</t>
  </si>
  <si>
    <t xml:space="preserve">Axial k (lbf/in)</t>
  </si>
  <si>
    <t xml:space="preserve">Torsional k (lbf·in/rad)</t>
  </si>
  <si>
    <t xml:space="preserve">f lateral (Hz)</t>
  </si>
  <si>
    <t xml:space="preserve">f axial (Hz)</t>
  </si>
  <si>
    <t xml:space="preserve">f torsion (Hz)</t>
  </si>
  <si>
    <t xml:space="preserve">2</t>
  </si>
  <si>
    <t xml:space="preserve">CBUSH at base</t>
  </si>
  <si>
    <t xml:space="preserve">Large lateral error → check CBUSH node coincidence/orientation</t>
  </si>
  <si>
    <t xml:space="preserve">3a</t>
  </si>
  <si>
    <t xml:space="preserve">Plate, RBE2 at bore</t>
  </si>
  <si>
    <t xml:space="preserve">Should match closely: RBE2 = rigid hub</t>
  </si>
  <si>
    <t xml:space="preserve">3b</t>
  </si>
  <si>
    <t xml:space="preserve">Plate, RBE3 at bore</t>
  </si>
  <si>
    <t xml:space="preserve">n/a</t>
  </si>
  <si>
    <t xml:space="preserve">Expect softer than 3a</t>
  </si>
  <si>
    <t xml:space="preserve">3c</t>
  </si>
  <si>
    <t xml:space="preserve">Plate, modeled outer ring</t>
  </si>
  <si>
    <t xml:space="preserve">Expect between 3a and 3b</t>
  </si>
  <si>
    <t xml:space="preserve">4</t>
  </si>
  <si>
    <t xml:space="preserve">Spaced pair, baseline</t>
  </si>
  <si>
    <t xml:space="preserve">Slightly above Step 2 (rigid shaft between load centers)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</si>
</sst>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%"/>
    <numFmt numFmtId="166" formatCode="#,##0"/>
    <numFmt numFmtId="167" formatCode="0.000E+00"/>
    <numFmt numFmtId="168" formatCode="0.0"/>
    <numFmt numFmtId="169" formatCode="0.00"/>
    <numFmt numFmtId="170" formatCode="0.0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D9D9"/>
        <bgColor rgb="FFDDEBF7"/>
      </patternFill>
    </fill>
    <fill>
      <patternFill patternType="solid">
        <fgColor rgb="FFDDEBF7"/>
        <bgColor rgb="FFD9D9D9"/>
      </patternFill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medium">
        <color rgb="FF1F386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C6EFCE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E9945"/>
      <rgbColor rgb="FF800080"/>
      <rgbColor rgb="FF008080"/>
      <rgbColor rgb="FFBFBFBF"/>
      <rgbColor rgb="FF878787"/>
      <rgbColor rgb="FF9999FF"/>
      <rgbColor rgb="FF993366"/>
      <rgbColor rgb="FFFFFF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8B855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First lateral mode vs bearing spacing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"Hand calc"</c:f>
              <c:strCache>
                <c:ptCount val="1"/>
                <c:pt idx="0">
                  <c:v>Hand calc</c:v>
                </c:pt>
              </c:strCache>
            </c:strRef>
          </c:tx>
          <c:spPr>
            <a:solidFill>
              <a:srgbClr val="7e9945"/>
            </a:solidFill>
            <a:ln w="47520">
              <a:solidFill>
                <a:srgbClr val="7e994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Step4_Sweep!$A$5:$A$20</c:f>
              <c:numCache>
                <c:formatCode>0.000</c:formatCode>
                <c:ptCount val="16"/>
                <c:pt idx="0">
                  <c:v>0.47</c:v>
                </c:pt>
                <c:pt idx="1">
                  <c:v>0.705333333333333</c:v>
                </c:pt>
                <c:pt idx="2">
                  <c:v>0.940666666666667</c:v>
                </c:pt>
                <c:pt idx="3">
                  <c:v>1.176</c:v>
                </c:pt>
                <c:pt idx="4">
                  <c:v>1.41133333333333</c:v>
                </c:pt>
                <c:pt idx="5">
                  <c:v>1.64666666666667</c:v>
                </c:pt>
                <c:pt idx="6">
                  <c:v>1.882</c:v>
                </c:pt>
                <c:pt idx="7">
                  <c:v>2.11733333333333</c:v>
                </c:pt>
                <c:pt idx="8">
                  <c:v>2.35266666666667</c:v>
                </c:pt>
                <c:pt idx="9">
                  <c:v>2.588</c:v>
                </c:pt>
                <c:pt idx="10">
                  <c:v>2.82333333333333</c:v>
                </c:pt>
                <c:pt idx="11">
                  <c:v>3.05866666666667</c:v>
                </c:pt>
                <c:pt idx="12">
                  <c:v>3.294</c:v>
                </c:pt>
                <c:pt idx="13">
                  <c:v>3.52933333333333</c:v>
                </c:pt>
                <c:pt idx="14">
                  <c:v>3.76466666666667</c:v>
                </c:pt>
                <c:pt idx="15">
                  <c:v>4</c:v>
                </c:pt>
              </c:numCache>
            </c:numRef>
          </c:xVal>
          <c:yVal>
            <c:numRef>
              <c:f>Step4_Sweep!$F$5:$F$20</c:f>
              <c:numCache>
                <c:formatCode>0.0</c:formatCode>
                <c:ptCount val="16"/>
                <c:pt idx="0">
                  <c:v>88.1569212584955</c:v>
                </c:pt>
                <c:pt idx="1">
                  <c:v>97.5674241296759</c:v>
                </c:pt>
                <c:pt idx="2">
                  <c:v>104.048580708267</c:v>
                </c:pt>
                <c:pt idx="3">
                  <c:v>108.617669913722</c:v>
                </c:pt>
                <c:pt idx="4">
                  <c:v>111.926887919012</c:v>
                </c:pt>
                <c:pt idx="5">
                  <c:v>114.387617947817</c:v>
                </c:pt>
                <c:pt idx="6">
                  <c:v>116.26220186631</c:v>
                </c:pt>
                <c:pt idx="7">
                  <c:v>117.721488191762</c:v>
                </c:pt>
                <c:pt idx="8">
                  <c:v>118.879452083477</c:v>
                </c:pt>
                <c:pt idx="9">
                  <c:v>119.813986537241</c:v>
                </c:pt>
                <c:pt idx="10">
                  <c:v>120.579562232179</c:v>
                </c:pt>
                <c:pt idx="11">
                  <c:v>121.215091257173</c:v>
                </c:pt>
                <c:pt idx="12">
                  <c:v>121.74891990558</c:v>
                </c:pt>
                <c:pt idx="13">
                  <c:v>122.202069174392</c:v>
                </c:pt>
                <c:pt idx="14">
                  <c:v>122.590383026267</c:v>
                </c:pt>
                <c:pt idx="15">
                  <c:v>122.925981359936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"Requirement"</c:f>
              <c:strCache>
                <c:ptCount val="1"/>
                <c:pt idx="0">
                  <c:v>Requirement</c:v>
                </c:pt>
              </c:strCache>
            </c:strRef>
          </c:tx>
          <c:spPr>
            <a:solidFill>
              <a:srgbClr val="98b855"/>
            </a:solidFill>
            <a:ln w="47520">
              <a:solidFill>
                <a:srgbClr val="98b855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Step4_Sweep!$A$5:$A$20</c:f>
              <c:numCache>
                <c:formatCode>0.000</c:formatCode>
                <c:ptCount val="16"/>
                <c:pt idx="0">
                  <c:v>0.47</c:v>
                </c:pt>
                <c:pt idx="1">
                  <c:v>0.705333333333333</c:v>
                </c:pt>
                <c:pt idx="2">
                  <c:v>0.940666666666667</c:v>
                </c:pt>
                <c:pt idx="3">
                  <c:v>1.176</c:v>
                </c:pt>
                <c:pt idx="4">
                  <c:v>1.41133333333333</c:v>
                </c:pt>
                <c:pt idx="5">
                  <c:v>1.64666666666667</c:v>
                </c:pt>
                <c:pt idx="6">
                  <c:v>1.882</c:v>
                </c:pt>
                <c:pt idx="7">
                  <c:v>2.11733333333333</c:v>
                </c:pt>
                <c:pt idx="8">
                  <c:v>2.35266666666667</c:v>
                </c:pt>
                <c:pt idx="9">
                  <c:v>2.588</c:v>
                </c:pt>
                <c:pt idx="10">
                  <c:v>2.82333333333333</c:v>
                </c:pt>
                <c:pt idx="11">
                  <c:v>3.05866666666667</c:v>
                </c:pt>
                <c:pt idx="12">
                  <c:v>3.294</c:v>
                </c:pt>
                <c:pt idx="13">
                  <c:v>3.52933333333333</c:v>
                </c:pt>
                <c:pt idx="14">
                  <c:v>3.76466666666667</c:v>
                </c:pt>
                <c:pt idx="15">
                  <c:v>4</c:v>
                </c:pt>
              </c:numCache>
            </c:numRef>
          </c:xVal>
          <c:yVal>
            <c:numRef>
              <c:f>Step4_Sweep!$G$5:$G$20</c:f>
              <c:numCache>
                <c:formatCode>0.0</c:formatCode>
                <c:ptCount val="16"/>
                <c:pt idx="0">
                  <c:v>150</c:v>
                </c:pt>
                <c:pt idx="1">
                  <c:v>150</c:v>
                </c:pt>
                <c:pt idx="2">
                  <c:v>150</c:v>
                </c:pt>
                <c:pt idx="3">
                  <c:v>150</c:v>
                </c:pt>
                <c:pt idx="4">
                  <c:v>150</c:v>
                </c:pt>
                <c:pt idx="5">
                  <c:v>150</c:v>
                </c:pt>
                <c:pt idx="6">
                  <c:v>150</c:v>
                </c:pt>
                <c:pt idx="7">
                  <c:v>150</c:v>
                </c:pt>
                <c:pt idx="8">
                  <c:v>150</c:v>
                </c:pt>
                <c:pt idx="9">
                  <c:v>150</c:v>
                </c:pt>
                <c:pt idx="10">
                  <c:v>150</c:v>
                </c:pt>
                <c:pt idx="11">
                  <c:v>150</c:v>
                </c:pt>
                <c:pt idx="12">
                  <c:v>150</c:v>
                </c:pt>
                <c:pt idx="13">
                  <c:v>150</c:v>
                </c:pt>
                <c:pt idx="14">
                  <c:v>150</c:v>
                </c:pt>
                <c:pt idx="15">
                  <c:v>150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"FEM"</c:f>
              <c:strCache>
                <c:ptCount val="1"/>
                <c:pt idx="0">
                  <c:v>FEM</c:v>
                </c:pt>
              </c:strCache>
            </c:strRef>
          </c:tx>
          <c:spPr>
            <a:solidFill>
              <a:srgbClr val="ffffff"/>
            </a:solidFill>
            <a:ln w="47520">
              <a:noFill/>
            </a:ln>
          </c:spPr>
          <c:marker>
            <c:symbol val="circle"/>
            <c:size val="5"/>
            <c:spPr>
              <a:noFill/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Step4_Sweep!$A$5:$A$20</c:f>
              <c:numCache>
                <c:formatCode>0.000</c:formatCode>
                <c:ptCount val="16"/>
                <c:pt idx="0">
                  <c:v>0.47</c:v>
                </c:pt>
                <c:pt idx="1">
                  <c:v>0.705333333333333</c:v>
                </c:pt>
                <c:pt idx="2">
                  <c:v>0.940666666666667</c:v>
                </c:pt>
                <c:pt idx="3">
                  <c:v>1.176</c:v>
                </c:pt>
                <c:pt idx="4">
                  <c:v>1.41133333333333</c:v>
                </c:pt>
                <c:pt idx="5">
                  <c:v>1.64666666666667</c:v>
                </c:pt>
                <c:pt idx="6">
                  <c:v>1.882</c:v>
                </c:pt>
                <c:pt idx="7">
                  <c:v>2.11733333333333</c:v>
                </c:pt>
                <c:pt idx="8">
                  <c:v>2.35266666666667</c:v>
                </c:pt>
                <c:pt idx="9">
                  <c:v>2.588</c:v>
                </c:pt>
                <c:pt idx="10">
                  <c:v>2.82333333333333</c:v>
                </c:pt>
                <c:pt idx="11">
                  <c:v>3.05866666666667</c:v>
                </c:pt>
                <c:pt idx="12">
                  <c:v>3.294</c:v>
                </c:pt>
                <c:pt idx="13">
                  <c:v>3.52933333333333</c:v>
                </c:pt>
                <c:pt idx="14">
                  <c:v>3.76466666666667</c:v>
                </c:pt>
                <c:pt idx="15">
                  <c:v>4</c:v>
                </c:pt>
              </c:numCache>
            </c:numRef>
          </c:xVal>
          <c:yVal>
            <c:numRef>
              <c:f>Step4_Sweep!$H$5:$H$20</c:f>
              <c:numCache>
                <c:formatCode>General</c:formatCode>
                <c:ptCount val="16"/>
              </c:numCache>
            </c:numRef>
          </c:yVal>
          <c:smooth val="1"/>
        </c:ser>
        <c:axId val="63873569"/>
        <c:axId val="1380443"/>
      </c:scatterChart>
      <c:valAx>
        <c:axId val="63873569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Bearing center spacing (in)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80443"/>
        <c:crosses val="autoZero"/>
        <c:crossBetween val="midCat"/>
      </c:valAx>
      <c:valAx>
        <c:axId val="138044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Frequency (Hz)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873569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22</xdr:row>
      <xdr:rowOff>160560</xdr:rowOff>
    </xdr:from>
    <xdr:to>
      <xdr:col>6</xdr:col>
      <xdr:colOff>276840</xdr:colOff>
      <xdr:row>39</xdr:row>
      <xdr:rowOff>161640</xdr:rowOff>
    </xdr:to>
    <xdr:graphicFrame>
      <xdr:nvGraphicFramePr>
        <xdr:cNvPr id="0" name="Chart 1"/>
        <xdr:cNvGraphicFramePr/>
      </xdr:nvGraphicFramePr>
      <xdr:xfrm>
        <a:off x="0" y="476244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/>
      <c r="B1" s="2" t="s">
        <v>0</v>
      </c>
    </row>
    <row r="2" customFormat="false" ht="26.85" hidden="false" customHeight="false" outlineLevel="0" collapsed="false">
      <c r="A2" s="1"/>
      <c r="B2" s="3" t="s">
        <v>1</v>
      </c>
    </row>
    <row r="3" customFormat="false" ht="15" hidden="false" customHeight="false" outlineLevel="0" collapsed="false">
      <c r="A3" s="1"/>
      <c r="B3" s="3"/>
    </row>
    <row r="4" customFormat="false" ht="15" hidden="false" customHeight="false" outlineLevel="0" collapsed="false">
      <c r="A4" s="1"/>
      <c r="B4" s="4" t="s">
        <v>2</v>
      </c>
    </row>
    <row r="5" customFormat="false" ht="15" hidden="false" customHeight="false" outlineLevel="0" collapsed="false">
      <c r="A5" s="1"/>
      <c r="B5" s="3"/>
    </row>
    <row r="6" customFormat="false" ht="15" hidden="false" customHeight="false" outlineLevel="0" collapsed="false">
      <c r="A6" s="1"/>
      <c r="B6" s="4" t="s">
        <v>3</v>
      </c>
    </row>
    <row r="7" customFormat="false" ht="15" hidden="false" customHeight="false" outlineLevel="0" collapsed="false">
      <c r="A7" s="1"/>
      <c r="B7" s="5" t="s">
        <v>4</v>
      </c>
    </row>
    <row r="8" customFormat="false" ht="15" hidden="false" customHeight="false" outlineLevel="0" collapsed="false">
      <c r="A8" s="1"/>
      <c r="B8" s="3" t="s">
        <v>5</v>
      </c>
    </row>
    <row r="9" customFormat="false" ht="15" hidden="false" customHeight="false" outlineLevel="0" collapsed="false">
      <c r="A9" s="1"/>
      <c r="B9" s="3" t="s">
        <v>6</v>
      </c>
    </row>
    <row r="10" customFormat="false" ht="26.85" hidden="false" customHeight="false" outlineLevel="0" collapsed="false">
      <c r="A10" s="1"/>
      <c r="B10" s="4" t="s">
        <v>7</v>
      </c>
    </row>
    <row r="11" customFormat="false" ht="15" hidden="false" customHeight="false" outlineLevel="0" collapsed="false">
      <c r="A11" s="1"/>
      <c r="B11" s="3"/>
    </row>
    <row r="12" customFormat="false" ht="15" hidden="false" customHeight="false" outlineLevel="0" collapsed="false">
      <c r="A12" s="1"/>
      <c r="B12" s="4" t="s">
        <v>8</v>
      </c>
    </row>
    <row r="13" customFormat="false" ht="26.85" hidden="false" customHeight="false" outlineLevel="0" collapsed="false">
      <c r="A13" s="1"/>
      <c r="B13" s="3" t="s">
        <v>9</v>
      </c>
    </row>
    <row r="14" customFormat="false" ht="15" hidden="false" customHeight="false" outlineLevel="0" collapsed="false">
      <c r="A14" s="1"/>
      <c r="B14" s="3" t="s">
        <v>10</v>
      </c>
    </row>
    <row r="15" customFormat="false" ht="26.85" hidden="false" customHeight="false" outlineLevel="0" collapsed="false">
      <c r="A15" s="1"/>
      <c r="B15" s="3" t="s">
        <v>11</v>
      </c>
    </row>
    <row r="16" customFormat="false" ht="26.85" hidden="false" customHeight="false" outlineLevel="0" collapsed="false">
      <c r="A16" s="1"/>
      <c r="B16" s="3" t="s">
        <v>12</v>
      </c>
    </row>
    <row r="17" customFormat="false" ht="26.85" hidden="false" customHeight="false" outlineLevel="0" collapsed="false">
      <c r="A17" s="1"/>
      <c r="B17" s="3" t="s">
        <v>13</v>
      </c>
    </row>
    <row r="18" customFormat="false" ht="15" hidden="false" customHeight="false" outlineLevel="0" collapsed="false">
      <c r="A18" s="1"/>
      <c r="B18" s="3" t="s">
        <v>14</v>
      </c>
    </row>
    <row r="19" customFormat="false" ht="15" hidden="false" customHeight="false" outlineLevel="0" collapsed="false">
      <c r="A19" s="1"/>
      <c r="B19" s="3"/>
    </row>
    <row r="20" customFormat="false" ht="15" hidden="false" customHeight="false" outlineLevel="0" collapsed="false">
      <c r="A20" s="1"/>
      <c r="B20" s="4" t="s">
        <v>15</v>
      </c>
    </row>
    <row r="21" customFormat="false" ht="26.85" hidden="false" customHeight="false" outlineLevel="0" collapsed="false">
      <c r="A21" s="1"/>
      <c r="B21" s="3" t="s">
        <v>16</v>
      </c>
    </row>
    <row r="22" customFormat="false" ht="26.85" hidden="false" customHeight="false" outlineLevel="0" collapsed="false">
      <c r="A22" s="1"/>
      <c r="B22" s="3" t="s">
        <v>17</v>
      </c>
    </row>
    <row r="23" customFormat="false" ht="26.85" hidden="false" customHeight="false" outlineLevel="0" collapsed="false">
      <c r="A23" s="1"/>
      <c r="B23" s="3" t="s">
        <v>18</v>
      </c>
    </row>
    <row r="24" customFormat="false" ht="15" hidden="false" customHeight="false" outlineLevel="0" collapsed="false">
      <c r="A24" s="1"/>
      <c r="B24" s="3" t="s">
        <v>19</v>
      </c>
    </row>
    <row r="25" customFormat="false" ht="26.85" hidden="false" customHeight="false" outlineLevel="0" collapsed="false">
      <c r="A25" s="1"/>
      <c r="B25" s="3" t="s">
        <v>20</v>
      </c>
    </row>
    <row r="26" customFormat="false" ht="26.85" hidden="false" customHeight="false" outlineLevel="0" collapsed="false">
      <c r="A26" s="1"/>
      <c r="B26" s="3" t="s">
        <v>21</v>
      </c>
    </row>
    <row r="27" customFormat="false" ht="15" hidden="false" customHeight="false" outlineLevel="0" collapsed="false">
      <c r="A27" s="1"/>
      <c r="B27" s="3"/>
    </row>
    <row r="28" customFormat="false" ht="15" hidden="false" customHeight="false" outlineLevel="0" collapsed="false">
      <c r="A28" s="1"/>
      <c r="B28" s="4" t="s">
        <v>22</v>
      </c>
    </row>
    <row r="29" customFormat="false" ht="26.85" hidden="false" customHeight="false" outlineLevel="0" collapsed="false">
      <c r="A29" s="1"/>
      <c r="B29" s="3" t="s">
        <v>23</v>
      </c>
    </row>
    <row r="30" customFormat="false" ht="15" hidden="false" customHeight="false" outlineLevel="0" collapsed="false">
      <c r="A30" s="1"/>
      <c r="B30" s="3" t="s">
        <v>24</v>
      </c>
    </row>
    <row r="31" customFormat="false" ht="26.85" hidden="false" customHeight="false" outlineLevel="0" collapsed="false">
      <c r="A31" s="1"/>
      <c r="B31" s="3" t="s">
        <v>25</v>
      </c>
    </row>
    <row r="32" customFormat="false" ht="26.85" hidden="false" customHeight="false" outlineLevel="0" collapsed="false">
      <c r="A32" s="1"/>
      <c r="B32" s="3" t="s">
        <v>26</v>
      </c>
    </row>
    <row r="33" customFormat="false" ht="26.85" hidden="false" customHeight="false" outlineLevel="0" collapsed="false">
      <c r="A33" s="1"/>
      <c r="B33" s="3" t="s">
        <v>27</v>
      </c>
    </row>
    <row r="34" customFormat="false" ht="26.85" hidden="false" customHeight="false" outlineLevel="0" collapsed="false">
      <c r="A34" s="1"/>
      <c r="B34" s="3" t="s">
        <v>28</v>
      </c>
    </row>
    <row r="35" customFormat="false" ht="26.85" hidden="false" customHeight="false" outlineLevel="0" collapsed="false">
      <c r="A35" s="1"/>
      <c r="B35" s="3" t="s">
        <v>29</v>
      </c>
    </row>
    <row r="36" customFormat="false" ht="15" hidden="false" customHeight="false" outlineLevel="0" collapsed="false">
      <c r="A36" s="1"/>
      <c r="B36" s="3" t="s">
        <v>30</v>
      </c>
    </row>
    <row r="37" customFormat="false" ht="15" hidden="false" customHeight="false" outlineLevel="0" collapsed="false">
      <c r="A37" s="1"/>
      <c r="B37" s="3"/>
    </row>
    <row r="38" customFormat="false" ht="15" hidden="false" customHeight="false" outlineLevel="0" collapsed="false">
      <c r="A38" s="1"/>
      <c r="B38" s="4" t="s">
        <v>31</v>
      </c>
    </row>
    <row r="39" customFormat="false" ht="39.55" hidden="false" customHeight="false" outlineLevel="0" collapsed="false">
      <c r="A39" s="1"/>
      <c r="B39" s="3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70"/>
  </cols>
  <sheetData>
    <row r="1" customFormat="false" ht="17.35" hidden="false" customHeight="false" outlineLevel="0" collapsed="false">
      <c r="A1" s="6" t="s">
        <v>33</v>
      </c>
      <c r="B1" s="1"/>
      <c r="C1" s="1"/>
      <c r="D1" s="1"/>
      <c r="E1" s="1"/>
    </row>
    <row r="2" customFormat="false" ht="15" hidden="false" customHeight="false" outlineLevel="0" collapsed="false">
      <c r="A2" s="1"/>
      <c r="B2" s="1"/>
      <c r="C2" s="1"/>
      <c r="D2" s="1"/>
      <c r="E2" s="1"/>
    </row>
    <row r="3" customFormat="false" ht="15" hidden="false" customHeight="false" outlineLevel="0" collapsed="false">
      <c r="A3" s="7" t="s">
        <v>34</v>
      </c>
      <c r="B3" s="7" t="s">
        <v>35</v>
      </c>
      <c r="C3" s="7" t="s">
        <v>36</v>
      </c>
      <c r="D3" s="7" t="s">
        <v>37</v>
      </c>
      <c r="E3" s="7" t="s">
        <v>38</v>
      </c>
    </row>
    <row r="4" customFormat="false" ht="15" hidden="false" customHeight="false" outlineLevel="0" collapsed="false">
      <c r="A4" s="8" t="s">
        <v>39</v>
      </c>
      <c r="B4" s="9"/>
      <c r="C4" s="9"/>
      <c r="D4" s="9"/>
      <c r="E4" s="9"/>
    </row>
    <row r="5" customFormat="false" ht="15" hidden="false" customHeight="false" outlineLevel="0" collapsed="false">
      <c r="A5" s="1" t="s">
        <v>40</v>
      </c>
      <c r="B5" s="10" t="s">
        <v>41</v>
      </c>
      <c r="C5" s="11" t="n">
        <v>150</v>
      </c>
      <c r="D5" s="1" t="s">
        <v>42</v>
      </c>
      <c r="E5" s="1" t="s">
        <v>43</v>
      </c>
    </row>
    <row r="6" customFormat="false" ht="15" hidden="false" customHeight="false" outlineLevel="0" collapsed="false">
      <c r="A6" s="1" t="s">
        <v>44</v>
      </c>
      <c r="B6" s="10" t="s">
        <v>45</v>
      </c>
      <c r="C6" s="11" t="n">
        <v>386.09</v>
      </c>
      <c r="D6" s="1" t="s">
        <v>46</v>
      </c>
      <c r="E6" s="1" t="s">
        <v>47</v>
      </c>
    </row>
    <row r="7" customFormat="false" ht="15" hidden="false" customHeight="false" outlineLevel="0" collapsed="false">
      <c r="A7" s="1" t="s">
        <v>48</v>
      </c>
      <c r="B7" s="10" t="s">
        <v>49</v>
      </c>
      <c r="C7" s="12" t="n">
        <v>0.05</v>
      </c>
      <c r="D7" s="1" t="s">
        <v>50</v>
      </c>
      <c r="E7" s="1" t="s">
        <v>51</v>
      </c>
    </row>
    <row r="8" customFormat="false" ht="15" hidden="false" customHeight="false" outlineLevel="0" collapsed="false">
      <c r="A8" s="8" t="s">
        <v>52</v>
      </c>
      <c r="B8" s="9"/>
      <c r="C8" s="9"/>
      <c r="D8" s="9"/>
      <c r="E8" s="9"/>
    </row>
    <row r="9" customFormat="false" ht="15" hidden="false" customHeight="false" outlineLevel="0" collapsed="false">
      <c r="A9" s="1" t="s">
        <v>53</v>
      </c>
      <c r="B9" s="10" t="s">
        <v>54</v>
      </c>
      <c r="C9" s="13" t="n">
        <v>10000000</v>
      </c>
      <c r="D9" s="1" t="s">
        <v>55</v>
      </c>
      <c r="E9" s="1" t="s">
        <v>56</v>
      </c>
    </row>
    <row r="10" customFormat="false" ht="15" hidden="false" customHeight="false" outlineLevel="0" collapsed="false">
      <c r="A10" s="1" t="s">
        <v>57</v>
      </c>
      <c r="B10" s="10" t="s">
        <v>58</v>
      </c>
      <c r="C10" s="11" t="n">
        <v>0.33</v>
      </c>
      <c r="D10" s="1" t="s">
        <v>50</v>
      </c>
      <c r="E10" s="1"/>
    </row>
    <row r="11" customFormat="false" ht="15" hidden="false" customHeight="false" outlineLevel="0" collapsed="false">
      <c r="A11" s="1" t="s">
        <v>59</v>
      </c>
      <c r="B11" s="10" t="s">
        <v>60</v>
      </c>
      <c r="C11" s="11" t="n">
        <v>0.098</v>
      </c>
      <c r="D11" s="1" t="s">
        <v>61</v>
      </c>
      <c r="E11" s="1" t="s">
        <v>62</v>
      </c>
    </row>
    <row r="12" customFormat="false" ht="15" hidden="false" customHeight="false" outlineLevel="0" collapsed="false">
      <c r="A12" s="1" t="s">
        <v>63</v>
      </c>
      <c r="B12" s="10" t="s">
        <v>64</v>
      </c>
      <c r="C12" s="11" t="n">
        <v>1</v>
      </c>
      <c r="D12" s="1" t="s">
        <v>65</v>
      </c>
      <c r="E12" s="1" t="s">
        <v>66</v>
      </c>
    </row>
    <row r="13" customFormat="false" ht="15" hidden="false" customHeight="false" outlineLevel="0" collapsed="false">
      <c r="A13" s="1" t="s">
        <v>67</v>
      </c>
      <c r="B13" s="10" t="s">
        <v>68</v>
      </c>
      <c r="C13" s="11" t="n">
        <v>0</v>
      </c>
      <c r="D13" s="1" t="s">
        <v>65</v>
      </c>
      <c r="E13" s="1"/>
    </row>
    <row r="14" customFormat="false" ht="15" hidden="false" customHeight="false" outlineLevel="0" collapsed="false">
      <c r="A14" s="1" t="s">
        <v>69</v>
      </c>
      <c r="B14" s="10" t="s">
        <v>70</v>
      </c>
      <c r="C14" s="11" t="n">
        <v>6</v>
      </c>
      <c r="D14" s="1" t="s">
        <v>65</v>
      </c>
      <c r="E14" s="1" t="s">
        <v>71</v>
      </c>
    </row>
    <row r="15" customFormat="false" ht="15" hidden="false" customHeight="false" outlineLevel="0" collapsed="false">
      <c r="A15" s="8" t="s">
        <v>72</v>
      </c>
      <c r="B15" s="9"/>
      <c r="C15" s="9"/>
      <c r="D15" s="9"/>
      <c r="E15" s="9"/>
    </row>
    <row r="16" customFormat="false" ht="15" hidden="false" customHeight="false" outlineLevel="0" collapsed="false">
      <c r="A16" s="1" t="s">
        <v>73</v>
      </c>
      <c r="B16" s="10" t="s">
        <v>74</v>
      </c>
      <c r="C16" s="11" t="n">
        <v>5</v>
      </c>
      <c r="D16" s="1" t="s">
        <v>75</v>
      </c>
      <c r="E16" s="1" t="s">
        <v>66</v>
      </c>
    </row>
    <row r="17" customFormat="false" ht="15" hidden="false" customHeight="false" outlineLevel="0" collapsed="false">
      <c r="A17" s="1" t="s">
        <v>76</v>
      </c>
      <c r="B17" s="10" t="s">
        <v>77</v>
      </c>
      <c r="C17" s="11" t="n">
        <v>0.0259</v>
      </c>
      <c r="D17" s="1" t="s">
        <v>78</v>
      </c>
      <c r="E17" s="1" t="s">
        <v>79</v>
      </c>
    </row>
    <row r="18" customFormat="false" ht="15" hidden="false" customHeight="false" outlineLevel="0" collapsed="false">
      <c r="A18" s="8" t="s">
        <v>80</v>
      </c>
      <c r="B18" s="9"/>
      <c r="C18" s="9"/>
      <c r="D18" s="9"/>
      <c r="E18" s="9"/>
    </row>
    <row r="19" customFormat="false" ht="15" hidden="false" customHeight="false" outlineLevel="0" collapsed="false">
      <c r="A19" s="1" t="s">
        <v>81</v>
      </c>
      <c r="B19" s="10" t="s">
        <v>82</v>
      </c>
      <c r="C19" s="13" t="n">
        <v>400000</v>
      </c>
      <c r="D19" s="1" t="s">
        <v>83</v>
      </c>
      <c r="E19" s="1" t="s">
        <v>84</v>
      </c>
    </row>
    <row r="20" customFormat="false" ht="15" hidden="false" customHeight="false" outlineLevel="0" collapsed="false">
      <c r="A20" s="1" t="s">
        <v>85</v>
      </c>
      <c r="B20" s="10" t="s">
        <v>86</v>
      </c>
      <c r="C20" s="13" t="n">
        <v>1500000</v>
      </c>
      <c r="D20" s="1" t="s">
        <v>83</v>
      </c>
      <c r="E20" s="1" t="s">
        <v>84</v>
      </c>
    </row>
    <row r="21" customFormat="false" ht="15" hidden="false" customHeight="false" outlineLevel="0" collapsed="false">
      <c r="A21" s="1" t="s">
        <v>87</v>
      </c>
      <c r="B21" s="10" t="s">
        <v>88</v>
      </c>
      <c r="C21" s="13" t="n">
        <v>280000</v>
      </c>
      <c r="D21" s="1" t="s">
        <v>89</v>
      </c>
      <c r="E21" s="1" t="s">
        <v>84</v>
      </c>
    </row>
    <row r="22" customFormat="false" ht="15" hidden="false" customHeight="false" outlineLevel="0" collapsed="false">
      <c r="A22" s="1" t="s">
        <v>90</v>
      </c>
      <c r="B22" s="10" t="s">
        <v>91</v>
      </c>
      <c r="C22" s="13" t="n">
        <v>50000</v>
      </c>
      <c r="D22" s="1" t="s">
        <v>89</v>
      </c>
      <c r="E22" s="1" t="s">
        <v>92</v>
      </c>
    </row>
    <row r="23" customFormat="false" ht="15" hidden="false" customHeight="false" outlineLevel="0" collapsed="false">
      <c r="A23" s="8" t="s">
        <v>93</v>
      </c>
      <c r="B23" s="9"/>
      <c r="C23" s="9"/>
      <c r="D23" s="9"/>
      <c r="E23" s="9"/>
    </row>
    <row r="24" customFormat="false" ht="15" hidden="false" customHeight="false" outlineLevel="0" collapsed="false">
      <c r="A24" s="1" t="s">
        <v>94</v>
      </c>
      <c r="B24" s="10" t="s">
        <v>95</v>
      </c>
      <c r="C24" s="13" t="n">
        <v>10000000</v>
      </c>
      <c r="D24" s="1" t="s">
        <v>55</v>
      </c>
      <c r="E24" s="1" t="s">
        <v>66</v>
      </c>
    </row>
    <row r="25" customFormat="false" ht="15" hidden="false" customHeight="false" outlineLevel="0" collapsed="false">
      <c r="A25" s="1" t="s">
        <v>96</v>
      </c>
      <c r="B25" s="10" t="s">
        <v>97</v>
      </c>
      <c r="C25" s="11" t="n">
        <v>0.33</v>
      </c>
      <c r="D25" s="1" t="s">
        <v>50</v>
      </c>
      <c r="E25" s="1"/>
    </row>
    <row r="26" customFormat="false" ht="15" hidden="false" customHeight="false" outlineLevel="0" collapsed="false">
      <c r="A26" s="1" t="s">
        <v>98</v>
      </c>
      <c r="B26" s="10" t="s">
        <v>99</v>
      </c>
      <c r="C26" s="11" t="n">
        <v>0.25</v>
      </c>
      <c r="D26" s="1" t="s">
        <v>65</v>
      </c>
      <c r="E26" s="1" t="s">
        <v>66</v>
      </c>
    </row>
    <row r="27" customFormat="false" ht="15" hidden="false" customHeight="false" outlineLevel="0" collapsed="false">
      <c r="A27" s="1" t="s">
        <v>100</v>
      </c>
      <c r="B27" s="10" t="s">
        <v>101</v>
      </c>
      <c r="C27" s="11" t="n">
        <v>4</v>
      </c>
      <c r="D27" s="1" t="s">
        <v>65</v>
      </c>
      <c r="E27" s="1" t="s">
        <v>66</v>
      </c>
    </row>
    <row r="28" customFormat="false" ht="15" hidden="false" customHeight="false" outlineLevel="0" collapsed="false">
      <c r="A28" s="1" t="s">
        <v>102</v>
      </c>
      <c r="B28" s="10" t="s">
        <v>103</v>
      </c>
      <c r="C28" s="11" t="n">
        <v>0.925</v>
      </c>
      <c r="D28" s="1" t="s">
        <v>65</v>
      </c>
      <c r="E28" s="1" t="s">
        <v>66</v>
      </c>
    </row>
    <row r="29" customFormat="false" ht="15" hidden="false" customHeight="false" outlineLevel="0" collapsed="false">
      <c r="A29" s="8" t="s">
        <v>104</v>
      </c>
      <c r="B29" s="9"/>
      <c r="C29" s="9"/>
      <c r="D29" s="9"/>
      <c r="E29" s="9"/>
    </row>
    <row r="30" customFormat="false" ht="15" hidden="false" customHeight="false" outlineLevel="0" collapsed="false">
      <c r="A30" s="1" t="s">
        <v>105</v>
      </c>
      <c r="B30" s="10" t="s">
        <v>106</v>
      </c>
      <c r="C30" s="13" t="n">
        <v>200000</v>
      </c>
      <c r="D30" s="1" t="s">
        <v>83</v>
      </c>
      <c r="E30" s="1" t="s">
        <v>107</v>
      </c>
    </row>
    <row r="31" customFormat="false" ht="15" hidden="false" customHeight="false" outlineLevel="0" collapsed="false">
      <c r="A31" s="1" t="s">
        <v>108</v>
      </c>
      <c r="B31" s="10" t="s">
        <v>109</v>
      </c>
      <c r="C31" s="13" t="n">
        <v>750000</v>
      </c>
      <c r="D31" s="1" t="s">
        <v>83</v>
      </c>
      <c r="E31" s="1" t="s">
        <v>66</v>
      </c>
    </row>
    <row r="32" customFormat="false" ht="15" hidden="false" customHeight="false" outlineLevel="0" collapsed="false">
      <c r="A32" s="1" t="s">
        <v>110</v>
      </c>
      <c r="B32" s="10" t="s">
        <v>111</v>
      </c>
      <c r="C32" s="13" t="n">
        <v>5000</v>
      </c>
      <c r="D32" s="1" t="s">
        <v>89</v>
      </c>
      <c r="E32" s="1" t="s">
        <v>112</v>
      </c>
    </row>
    <row r="33" customFormat="false" ht="15" hidden="false" customHeight="false" outlineLevel="0" collapsed="false">
      <c r="A33" s="1" t="s">
        <v>113</v>
      </c>
      <c r="B33" s="10" t="s">
        <v>114</v>
      </c>
      <c r="C33" s="11" t="n">
        <v>15</v>
      </c>
      <c r="D33" s="1" t="s">
        <v>115</v>
      </c>
      <c r="E33" s="1" t="s">
        <v>66</v>
      </c>
    </row>
    <row r="34" customFormat="false" ht="15" hidden="false" customHeight="false" outlineLevel="0" collapsed="false">
      <c r="A34" s="1" t="s">
        <v>116</v>
      </c>
      <c r="B34" s="10" t="s">
        <v>117</v>
      </c>
      <c r="C34" s="11" t="n">
        <v>1.42</v>
      </c>
      <c r="D34" s="1" t="s">
        <v>65</v>
      </c>
      <c r="E34" s="1" t="s">
        <v>118</v>
      </c>
    </row>
    <row r="35" customFormat="false" ht="15" hidden="false" customHeight="false" outlineLevel="0" collapsed="false">
      <c r="A35" s="1" t="s">
        <v>119</v>
      </c>
      <c r="B35" s="10" t="s">
        <v>120</v>
      </c>
      <c r="C35" s="11" t="n">
        <v>1</v>
      </c>
      <c r="D35" s="1" t="s">
        <v>50</v>
      </c>
      <c r="E35" s="1" t="s">
        <v>121</v>
      </c>
    </row>
    <row r="36" customFormat="false" ht="15" hidden="false" customHeight="false" outlineLevel="0" collapsed="false">
      <c r="A36" s="1" t="s">
        <v>122</v>
      </c>
      <c r="B36" s="10" t="s">
        <v>123</v>
      </c>
      <c r="C36" s="11" t="n">
        <v>0.47</v>
      </c>
      <c r="D36" s="1" t="s">
        <v>65</v>
      </c>
      <c r="E36" s="1" t="s">
        <v>124</v>
      </c>
    </row>
    <row r="37" customFormat="false" ht="15" hidden="false" customHeight="false" outlineLevel="0" collapsed="false">
      <c r="A37" s="1" t="s">
        <v>125</v>
      </c>
      <c r="B37" s="10" t="s">
        <v>126</v>
      </c>
      <c r="C37" s="11" t="n">
        <v>4</v>
      </c>
      <c r="D37" s="1" t="s">
        <v>65</v>
      </c>
      <c r="E37" s="1" t="s">
        <v>127</v>
      </c>
    </row>
    <row r="38" customFormat="false" ht="15" hidden="false" customHeight="false" outlineLevel="0" collapsed="false">
      <c r="A38" s="1" t="s">
        <v>128</v>
      </c>
      <c r="B38" s="10" t="s">
        <v>129</v>
      </c>
      <c r="C38" s="14" t="n">
        <v>0</v>
      </c>
      <c r="D38" s="1" t="s">
        <v>130</v>
      </c>
      <c r="E38" s="1" t="s">
        <v>131</v>
      </c>
    </row>
    <row r="39" customFormat="false" ht="15" hidden="false" customHeight="false" outlineLevel="0" collapsed="false">
      <c r="A39" s="1" t="s">
        <v>132</v>
      </c>
      <c r="B39" s="10" t="s">
        <v>133</v>
      </c>
      <c r="C39" s="14" t="n">
        <v>0</v>
      </c>
      <c r="D39" s="1" t="s">
        <v>134</v>
      </c>
      <c r="E39" s="1" t="s">
        <v>135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5" min="2" style="0" width="16"/>
    <col collapsed="false" customWidth="true" hidden="false" outlineLevel="0" max="6" min="6" style="0" width="70"/>
  </cols>
  <sheetData>
    <row r="1" customFormat="false" ht="17.35" hidden="false" customHeight="false" outlineLevel="0" collapsed="false">
      <c r="A1" s="6" t="s">
        <v>136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</row>
    <row r="3" customFormat="false" ht="15" hidden="false" customHeight="false" outlineLevel="0" collapsed="false">
      <c r="A3" s="8" t="s">
        <v>137</v>
      </c>
      <c r="B3" s="9"/>
      <c r="C3" s="9"/>
      <c r="D3" s="9"/>
      <c r="E3" s="9"/>
      <c r="F3" s="9"/>
    </row>
    <row r="4" customFormat="false" ht="15" hidden="false" customHeight="false" outlineLevel="0" collapsed="false">
      <c r="A4" s="7" t="s">
        <v>138</v>
      </c>
      <c r="B4" s="7" t="s">
        <v>139</v>
      </c>
      <c r="C4" s="7"/>
      <c r="D4" s="7"/>
      <c r="E4" s="7"/>
      <c r="F4" s="7" t="s">
        <v>140</v>
      </c>
    </row>
    <row r="5" customFormat="false" ht="15" hidden="false" customHeight="false" outlineLevel="0" collapsed="false">
      <c r="A5" s="1" t="s">
        <v>141</v>
      </c>
      <c r="B5" s="15"/>
      <c r="C5" s="1"/>
      <c r="D5" s="1"/>
      <c r="E5" s="1"/>
      <c r="F5" s="1" t="str">
        <f aca="false">IF(B5="","Enter ESE fractions",IF(B5&gt;=0.5,"Bearings dominate mode 1: bearing stiffness value really matters",IF(B5&gt;=0.2,"Bearings are a real contributor: check the bounds below to size the payoff","Bearings are minor: stiffer bearings won't move mode 1 much")))</f>
        <v>Enter ESE fractions</v>
      </c>
    </row>
    <row r="6" customFormat="false" ht="15" hidden="false" customHeight="false" outlineLevel="0" collapsed="false">
      <c r="A6" s="1" t="s">
        <v>142</v>
      </c>
      <c r="B6" s="15"/>
      <c r="C6" s="1"/>
      <c r="D6" s="1"/>
      <c r="E6" s="1"/>
      <c r="F6" s="1" t="str">
        <f aca="false">IF(B6="","",IF(B6&gt;=0.3,"Housing/seat carries a big share: look at geometry and the seat attachment (RBE2 vs RBE3)",""))</f>
        <v/>
      </c>
    </row>
    <row r="7" customFormat="false" ht="15" hidden="false" customHeight="false" outlineLevel="0" collapsed="false">
      <c r="A7" s="1" t="s">
        <v>143</v>
      </c>
      <c r="B7" s="15"/>
      <c r="C7" s="1"/>
      <c r="D7" s="1"/>
      <c r="E7" s="1"/>
      <c r="F7" s="1"/>
    </row>
    <row r="8" customFormat="false" ht="15" hidden="false" customHeight="false" outlineLevel="0" collapsed="false">
      <c r="A8" s="1" t="s">
        <v>144</v>
      </c>
      <c r="B8" s="15"/>
      <c r="C8" s="1"/>
      <c r="D8" s="1"/>
      <c r="E8" s="1"/>
      <c r="F8" s="1"/>
    </row>
    <row r="9" customFormat="false" ht="15" hidden="false" customHeight="false" outlineLevel="0" collapsed="false">
      <c r="A9" s="1" t="s">
        <v>145</v>
      </c>
      <c r="B9" s="15"/>
      <c r="C9" s="1"/>
      <c r="D9" s="1"/>
      <c r="E9" s="1"/>
      <c r="F9" s="1"/>
    </row>
    <row r="10" customFormat="false" ht="15" hidden="false" customHeight="false" outlineLevel="0" collapsed="false">
      <c r="A10" s="1" t="s">
        <v>146</v>
      </c>
      <c r="B10" s="15"/>
      <c r="C10" s="1"/>
      <c r="D10" s="1"/>
      <c r="E10" s="1"/>
      <c r="F10" s="1"/>
    </row>
    <row r="11" customFormat="false" ht="15" hidden="false" customHeight="false" outlineLevel="0" collapsed="false">
      <c r="A11" s="16" t="s">
        <v>147</v>
      </c>
      <c r="B11" s="17" t="n">
        <f aca="false">SUM(B5:B10)</f>
        <v>0</v>
      </c>
      <c r="C11" s="1"/>
      <c r="D11" s="1"/>
      <c r="E11" s="1"/>
      <c r="F11" s="1" t="str">
        <f aca="false">IF(B11=0,"",IF(ABS(B11-1)&gt;0.05,"Fractions don't sum to 100%: check grouping",""))</f>
        <v/>
      </c>
    </row>
    <row r="12" customFormat="false" ht="15" hidden="false" customHeight="false" outlineLevel="0" collapsed="false">
      <c r="A12" s="1"/>
      <c r="B12" s="1"/>
      <c r="C12" s="1"/>
      <c r="D12" s="1"/>
      <c r="E12" s="1"/>
      <c r="F12" s="1"/>
    </row>
    <row r="13" customFormat="false" ht="15" hidden="false" customHeight="false" outlineLevel="0" collapsed="false">
      <c r="A13" s="8" t="s">
        <v>148</v>
      </c>
      <c r="B13" s="9"/>
      <c r="C13" s="9"/>
      <c r="D13" s="9"/>
      <c r="E13" s="9"/>
      <c r="F13" s="9"/>
    </row>
    <row r="14" customFormat="false" ht="26.85" hidden="false" customHeight="false" outlineLevel="0" collapsed="false">
      <c r="A14" s="7" t="s">
        <v>149</v>
      </c>
      <c r="B14" s="7" t="s">
        <v>150</v>
      </c>
      <c r="C14" s="7" t="s">
        <v>151</v>
      </c>
      <c r="D14" s="7" t="s">
        <v>152</v>
      </c>
      <c r="E14" s="7" t="s">
        <v>153</v>
      </c>
      <c r="F14" s="7" t="s">
        <v>140</v>
      </c>
    </row>
    <row r="15" customFormat="false" ht="15" hidden="false" customHeight="false" outlineLevel="0" collapsed="false">
      <c r="A15" s="1" t="s">
        <v>154</v>
      </c>
      <c r="B15" s="18"/>
      <c r="C15" s="17" t="str">
        <f aca="false">IF(OR(B15="",$B$15=""),"",B15/$B$15-1)</f>
        <v/>
      </c>
      <c r="D15" s="17" t="str">
        <f aca="false">IF(B15="","",B15/in_freq)</f>
        <v/>
      </c>
      <c r="E15" s="1" t="str">
        <f aca="false">IF(B15="","",IF(B15&gt;=in_freq,"YES","no"))</f>
        <v/>
      </c>
      <c r="F15" s="1"/>
    </row>
    <row r="16" customFormat="false" ht="15" hidden="false" customHeight="false" outlineLevel="0" collapsed="false">
      <c r="A16" s="1" t="s">
        <v>155</v>
      </c>
      <c r="B16" s="18"/>
      <c r="C16" s="17" t="str">
        <f aca="false">IF(OR(B16="",$B$15=""),"",B16/$B$15-1)</f>
        <v/>
      </c>
      <c r="D16" s="17" t="str">
        <f aca="false">IF(B16="","",B16/in_freq)</f>
        <v/>
      </c>
      <c r="E16" s="1" t="str">
        <f aca="false">IF(B16="","",IF(B16&gt;=in_freq,"YES","no"))</f>
        <v/>
      </c>
      <c r="F16" s="1"/>
    </row>
    <row r="17" customFormat="false" ht="15" hidden="false" customHeight="false" outlineLevel="0" collapsed="false">
      <c r="A17" s="1" t="s">
        <v>156</v>
      </c>
      <c r="B17" s="18"/>
      <c r="C17" s="17" t="str">
        <f aca="false">IF(OR(B17="",$B$15=""),"",B17/$B$15-1)</f>
        <v/>
      </c>
      <c r="D17" s="17" t="str">
        <f aca="false">IF(B17="","",B17/in_freq)</f>
        <v/>
      </c>
      <c r="E17" s="1" t="str">
        <f aca="false">IF(B17="","",IF(B17&gt;=in_freq,"YES","no"))</f>
        <v/>
      </c>
      <c r="F17" s="1"/>
    </row>
    <row r="18" customFormat="false" ht="15" hidden="false" customHeight="false" outlineLevel="0" collapsed="false">
      <c r="A18" s="1" t="s">
        <v>157</v>
      </c>
      <c r="B18" s="18"/>
      <c r="C18" s="17" t="str">
        <f aca="false">IF(OR(B18="",$B$15=""),"",B18/$B$15-1)</f>
        <v/>
      </c>
      <c r="D18" s="17" t="str">
        <f aca="false">IF(B18="","",B18/in_freq)</f>
        <v/>
      </c>
      <c r="E18" s="1" t="str">
        <f aca="false">IF(B18="","",IF(B18&gt;=in_freq,"YES","no"))</f>
        <v/>
      </c>
      <c r="F18" s="1"/>
    </row>
    <row r="19" customFormat="false" ht="15" hidden="false" customHeight="false" outlineLevel="0" collapsed="false">
      <c r="A19" s="1" t="s">
        <v>158</v>
      </c>
      <c r="B19" s="18"/>
      <c r="C19" s="17" t="str">
        <f aca="false">IF(OR(B19="",$B$15=""),"",B19/$B$15-1)</f>
        <v/>
      </c>
      <c r="D19" s="17" t="str">
        <f aca="false">IF(B19="","",B19/in_freq)</f>
        <v/>
      </c>
      <c r="E19" s="1" t="str">
        <f aca="false">IF(B19="","",IF(B19&gt;=in_freq,"YES","no"))</f>
        <v/>
      </c>
      <c r="F19" s="1" t="str">
        <f aca="false">IF(B19="","",IF(B19&lt;in_freq,"Even rigid bearings miss the requirement: fix structure/geometry first, not the bearing spec","A stiff enough bearing or wider span CAN close the gap"))</f>
        <v/>
      </c>
    </row>
    <row r="20" customFormat="false" ht="15" hidden="false" customHeight="false" outlineLevel="0" collapsed="false">
      <c r="A20" s="1" t="s">
        <v>159</v>
      </c>
      <c r="B20" s="18"/>
      <c r="C20" s="17" t="str">
        <f aca="false">IF(OR(B20="",$B$15=""),"",B20/$B$15-1)</f>
        <v/>
      </c>
      <c r="D20" s="17" t="str">
        <f aca="false">IF(B20="","",B20/in_freq)</f>
        <v/>
      </c>
      <c r="E20" s="1" t="str">
        <f aca="false">IF(B20="","",IF(B20&gt;=in_freq,"YES","no"))</f>
        <v/>
      </c>
      <c r="F20" s="1" t="str">
        <f aca="false">IF(OR(B20="",B15=""),"",IF(ABS(B20/B15-1)&lt;in_tol,"Seat attachment choice is not driving the answer","Seat attachment moves the answer: run Step 3c (modeled ring) to see where truth sits"))</f>
        <v/>
      </c>
    </row>
    <row r="21" customFormat="false" ht="15" hidden="false" customHeight="false" outlineLevel="0" collapsed="false">
      <c r="A21" s="1"/>
      <c r="B21" s="1"/>
      <c r="C21" s="1"/>
      <c r="D21" s="1"/>
      <c r="E21" s="1"/>
      <c r="F21" s="1"/>
    </row>
    <row r="22" customFormat="false" ht="15" hidden="false" customHeight="false" outlineLevel="0" collapsed="false">
      <c r="A22" s="16" t="s">
        <v>160</v>
      </c>
      <c r="B22" s="19" t="str">
        <f aca="false">IF(OR(B16="",B17=""),"",LN(B17/B16)/LN(4))</f>
        <v/>
      </c>
      <c r="C22" s="1"/>
      <c r="D22" s="1"/>
      <c r="E22" s="1"/>
      <c r="F22" s="1" t="str">
        <f aca="false">IF(B22="","Enter x0.5 and x2 runs",IF(B22&gt;0.35,"n near 0.5: mode is bearing-controlled",IF(B22&gt;0.1,"Partial: bearing and structure share the mode","n near 0: bearing stiffness barely matters")))</f>
        <v>Enter x0.5 and x2 runs</v>
      </c>
    </row>
    <row r="23" customFormat="false" ht="15" hidden="false" customHeight="false" outlineLevel="0" collapsed="false">
      <c r="A23" s="1"/>
      <c r="B23" s="1"/>
      <c r="C23" s="1"/>
      <c r="D23" s="1"/>
      <c r="E23" s="1"/>
      <c r="F23" s="1"/>
    </row>
    <row r="24" customFormat="false" ht="15" hidden="false" customHeight="false" outlineLevel="0" collapsed="false">
      <c r="A24" s="8" t="s">
        <v>161</v>
      </c>
      <c r="B24" s="9"/>
      <c r="C24" s="9"/>
      <c r="D24" s="9"/>
      <c r="E24" s="9"/>
      <c r="F24" s="9"/>
    </row>
    <row r="25" customFormat="false" ht="15" hidden="false" customHeight="false" outlineLevel="0" collapsed="false">
      <c r="A25" s="7" t="s">
        <v>162</v>
      </c>
      <c r="B25" s="7" t="s">
        <v>163</v>
      </c>
      <c r="C25" s="7" t="s">
        <v>164</v>
      </c>
      <c r="D25" s="7" t="s">
        <v>165</v>
      </c>
      <c r="E25" s="7"/>
      <c r="F25" s="7" t="s">
        <v>140</v>
      </c>
    </row>
    <row r="26" customFormat="false" ht="15" hidden="false" customHeight="false" outlineLevel="0" collapsed="false">
      <c r="A26" s="1" t="s">
        <v>166</v>
      </c>
      <c r="B26" s="20"/>
      <c r="C26" s="20"/>
      <c r="D26" s="21" t="str">
        <f aca="false">IF(OR(B26="",C26=""),"",C26-B26)</f>
        <v/>
      </c>
      <c r="E26" s="1"/>
      <c r="F26" s="1" t="str">
        <f aca="false">IF(OR(B26="",C26=""),"",IF(ABS(C26/B26-1)&gt;0.03,"Weight off by &gt;3%: check CONM2 units (slinch vs lbf), NSM, densities","Weight OK"))</f>
        <v/>
      </c>
    </row>
    <row r="27" customFormat="false" ht="15" hidden="false" customHeight="false" outlineLevel="0" collapsed="false">
      <c r="A27" s="1" t="s">
        <v>167</v>
      </c>
      <c r="B27" s="20"/>
      <c r="C27" s="20"/>
      <c r="D27" s="21" t="str">
        <f aca="false">IF(OR(B27="",C27=""),"",C27-B27)</f>
        <v/>
      </c>
      <c r="E27" s="1"/>
      <c r="F27" s="1"/>
    </row>
    <row r="28" customFormat="false" ht="15" hidden="false" customHeight="false" outlineLevel="0" collapsed="false">
      <c r="A28" s="1" t="s">
        <v>168</v>
      </c>
      <c r="B28" s="20"/>
      <c r="C28" s="20"/>
      <c r="D28" s="21" t="str">
        <f aca="false">IF(OR(B28="",C28=""),"",C28-B28)</f>
        <v/>
      </c>
      <c r="E28" s="1"/>
      <c r="F28" s="1"/>
    </row>
    <row r="29" customFormat="false" ht="15" hidden="false" customHeight="false" outlineLevel="0" collapsed="false">
      <c r="A29" s="1" t="s">
        <v>169</v>
      </c>
      <c r="B29" s="20"/>
      <c r="C29" s="20"/>
      <c r="D29" s="21" t="str">
        <f aca="false">IF(OR(B29="",C29=""),"",C29-B29)</f>
        <v/>
      </c>
      <c r="E29" s="1"/>
      <c r="F29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3" min="2" style="0" width="16"/>
    <col collapsed="false" customWidth="true" hidden="false" outlineLevel="0" max="4" min="4" style="0" width="90"/>
  </cols>
  <sheetData>
    <row r="1" customFormat="false" ht="17.35" hidden="false" customHeight="false" outlineLevel="0" collapsed="false">
      <c r="A1" s="6" t="s">
        <v>170</v>
      </c>
      <c r="B1" s="1"/>
      <c r="C1" s="1"/>
      <c r="D1" s="1"/>
    </row>
    <row r="2" customFormat="false" ht="15" hidden="false" customHeight="false" outlineLevel="0" collapsed="false">
      <c r="A2" s="1"/>
      <c r="B2" s="1"/>
      <c r="C2" s="1"/>
      <c r="D2" s="1"/>
    </row>
    <row r="3" customFormat="false" ht="15" hidden="false" customHeight="false" outlineLevel="0" collapsed="false">
      <c r="A3" s="7" t="s">
        <v>171</v>
      </c>
      <c r="B3" s="7" t="s">
        <v>36</v>
      </c>
      <c r="C3" s="7" t="s">
        <v>37</v>
      </c>
      <c r="D3" s="7" t="s">
        <v>172</v>
      </c>
    </row>
    <row r="4" customFormat="false" ht="15" hidden="false" customHeight="false" outlineLevel="0" collapsed="false">
      <c r="A4" s="8" t="s">
        <v>173</v>
      </c>
      <c r="B4" s="9"/>
      <c r="C4" s="9"/>
      <c r="D4" s="9"/>
    </row>
    <row r="5" customFormat="false" ht="15" hidden="false" customHeight="false" outlineLevel="0" collapsed="false">
      <c r="A5" s="1" t="s">
        <v>174</v>
      </c>
      <c r="B5" s="21" t="n">
        <f aca="false">PI()*(in_Db^2-in_Dib^2)/4</f>
        <v>0.785398163397448</v>
      </c>
      <c r="C5" s="1" t="s">
        <v>175</v>
      </c>
      <c r="D5" s="10" t="s">
        <v>176</v>
      </c>
    </row>
    <row r="6" customFormat="false" ht="15" hidden="false" customHeight="false" outlineLevel="0" collapsed="false">
      <c r="A6" s="1" t="s">
        <v>177</v>
      </c>
      <c r="B6" s="22" t="n">
        <f aca="false">PI()*(in_Db^4-in_Dib^4)/64</f>
        <v>0.0490873852123405</v>
      </c>
      <c r="C6" s="1" t="s">
        <v>178</v>
      </c>
      <c r="D6" s="10" t="s">
        <v>179</v>
      </c>
    </row>
    <row r="7" customFormat="false" ht="15" hidden="false" customHeight="false" outlineLevel="0" collapsed="false">
      <c r="A7" s="1" t="s">
        <v>180</v>
      </c>
      <c r="B7" s="22" t="n">
        <f aca="false">2*c_I</f>
        <v>0.098174770424681</v>
      </c>
      <c r="C7" s="1" t="s">
        <v>178</v>
      </c>
      <c r="D7" s="10" t="s">
        <v>181</v>
      </c>
    </row>
    <row r="8" customFormat="false" ht="15" hidden="false" customHeight="false" outlineLevel="0" collapsed="false">
      <c r="A8" s="1" t="s">
        <v>182</v>
      </c>
      <c r="B8" s="23" t="n">
        <f aca="false">in_Eb/(2*(1+in_nub))</f>
        <v>3759398.4962406</v>
      </c>
      <c r="C8" s="1" t="s">
        <v>55</v>
      </c>
      <c r="D8" s="10" t="s">
        <v>183</v>
      </c>
    </row>
    <row r="9" customFormat="false" ht="15" hidden="false" customHeight="false" outlineLevel="0" collapsed="false">
      <c r="A9" s="1" t="s">
        <v>184</v>
      </c>
      <c r="B9" s="22" t="n">
        <f aca="false">in_wb/in_g</f>
        <v>0.000253826827941672</v>
      </c>
      <c r="C9" s="1" t="s">
        <v>185</v>
      </c>
      <c r="D9" s="10" t="s">
        <v>186</v>
      </c>
    </row>
    <row r="10" customFormat="false" ht="15" hidden="false" customHeight="false" outlineLevel="0" collapsed="false">
      <c r="A10" s="1" t="s">
        <v>187</v>
      </c>
      <c r="B10" s="22" t="n">
        <f aca="false">c_rho*c_A*in_Lb</f>
        <v>0.00119613074691833</v>
      </c>
      <c r="C10" s="1" t="s">
        <v>188</v>
      </c>
      <c r="D10" s="10" t="s">
        <v>189</v>
      </c>
    </row>
    <row r="11" customFormat="false" ht="15" hidden="false" customHeight="false" outlineLevel="0" collapsed="false">
      <c r="A11" s="1" t="s">
        <v>190</v>
      </c>
      <c r="B11" s="22" t="n">
        <f aca="false">in_Wm/in_g</f>
        <v>0.012950348364371</v>
      </c>
      <c r="C11" s="1" t="s">
        <v>188</v>
      </c>
      <c r="D11" s="10" t="s">
        <v>191</v>
      </c>
    </row>
    <row r="12" customFormat="false" ht="15" hidden="false" customHeight="false" outlineLevel="0" collapsed="false">
      <c r="A12" s="1" t="s">
        <v>192</v>
      </c>
      <c r="B12" s="22" t="n">
        <f aca="false">c_M+33/140*c_mb</f>
        <v>0.0132322934690018</v>
      </c>
      <c r="C12" s="1" t="s">
        <v>188</v>
      </c>
      <c r="D12" s="10" t="s">
        <v>193</v>
      </c>
    </row>
    <row r="13" customFormat="false" ht="15" hidden="false" customHeight="false" outlineLevel="0" collapsed="false">
      <c r="A13" s="1" t="s">
        <v>194</v>
      </c>
      <c r="B13" s="22" t="n">
        <f aca="false">c_M+c_mb/3</f>
        <v>0.0133490586133438</v>
      </c>
      <c r="C13" s="1" t="s">
        <v>188</v>
      </c>
      <c r="D13" s="10" t="s">
        <v>195</v>
      </c>
    </row>
    <row r="14" customFormat="false" ht="15" hidden="false" customHeight="false" outlineLevel="0" collapsed="false">
      <c r="A14" s="1" t="s">
        <v>196</v>
      </c>
      <c r="B14" s="22" t="n">
        <f aca="false">in_Jm+c_rho*c_J*in_Lb/3</f>
        <v>0.0259498387811216</v>
      </c>
      <c r="C14" s="1" t="s">
        <v>78</v>
      </c>
      <c r="D14" s="10" t="s">
        <v>197</v>
      </c>
    </row>
    <row r="15" customFormat="false" ht="15" hidden="false" customHeight="false" outlineLevel="0" collapsed="false">
      <c r="A15" s="8" t="s">
        <v>198</v>
      </c>
      <c r="B15" s="9"/>
      <c r="C15" s="9"/>
      <c r="D15" s="9"/>
    </row>
    <row r="16" customFormat="false" ht="15" hidden="false" customHeight="false" outlineLevel="0" collapsed="false">
      <c r="A16" s="1" t="s">
        <v>199</v>
      </c>
      <c r="B16" s="22" t="n">
        <f aca="false">in_Lb^3/(3*in_Eb*c_I)</f>
        <v>0.000146677195553491</v>
      </c>
      <c r="C16" s="1" t="s">
        <v>134</v>
      </c>
      <c r="D16" s="10" t="s">
        <v>200</v>
      </c>
    </row>
    <row r="17" customFormat="false" ht="15" hidden="false" customHeight="false" outlineLevel="0" collapsed="false">
      <c r="A17" s="1" t="s">
        <v>201</v>
      </c>
      <c r="B17" s="22" t="n">
        <f aca="false">in_Lb/(in_Eb*c_A)</f>
        <v>7.63943726841098E-007</v>
      </c>
      <c r="C17" s="1" t="s">
        <v>134</v>
      </c>
      <c r="D17" s="10" t="s">
        <v>202</v>
      </c>
    </row>
    <row r="18" customFormat="false" ht="15" hidden="false" customHeight="false" outlineLevel="0" collapsed="false">
      <c r="A18" s="1" t="s">
        <v>203</v>
      </c>
      <c r="B18" s="22" t="n">
        <f aca="false">in_Lb/(c_G*c_J)</f>
        <v>1.62567225071786E-005</v>
      </c>
      <c r="C18" s="1" t="s">
        <v>130</v>
      </c>
      <c r="D18" s="10" t="s">
        <v>204</v>
      </c>
    </row>
    <row r="19" customFormat="false" ht="15" hidden="false" customHeight="false" outlineLevel="0" collapsed="false">
      <c r="A19" s="8" t="s">
        <v>205</v>
      </c>
      <c r="B19" s="9"/>
      <c r="C19" s="9"/>
      <c r="D19" s="9"/>
    </row>
    <row r="20" customFormat="false" ht="15" hidden="false" customHeight="false" outlineLevel="0" collapsed="false">
      <c r="A20" s="1" t="s">
        <v>206</v>
      </c>
      <c r="B20" s="23" t="n">
        <f aca="false">1/c_cb</f>
        <v>6817.69239060285</v>
      </c>
      <c r="C20" s="1" t="s">
        <v>83</v>
      </c>
      <c r="D20" s="10" t="s">
        <v>207</v>
      </c>
    </row>
    <row r="21" customFormat="false" ht="15" hidden="false" customHeight="false" outlineLevel="0" collapsed="false">
      <c r="A21" s="1" t="s">
        <v>208</v>
      </c>
      <c r="B21" s="23" t="n">
        <f aca="false">1/c_cba</f>
        <v>1308996.93899575</v>
      </c>
      <c r="C21" s="1" t="s">
        <v>83</v>
      </c>
      <c r="D21" s="10" t="s">
        <v>209</v>
      </c>
    </row>
    <row r="22" customFormat="false" ht="15" hidden="false" customHeight="false" outlineLevel="0" collapsed="false">
      <c r="A22" s="1" t="s">
        <v>210</v>
      </c>
      <c r="B22" s="23" t="n">
        <f aca="false">1/c_cbt</f>
        <v>61513.014050552</v>
      </c>
      <c r="C22" s="1" t="s">
        <v>89</v>
      </c>
      <c r="D22" s="10" t="s">
        <v>211</v>
      </c>
    </row>
    <row r="23" customFormat="false" ht="15" hidden="false" customHeight="false" outlineLevel="0" collapsed="false">
      <c r="A23" s="16" t="s">
        <v>212</v>
      </c>
      <c r="B23" s="24" t="n">
        <f aca="false">SQRT(s1_klat/c_mlat)/(2*PI())</f>
        <v>114.240809201571</v>
      </c>
      <c r="C23" s="1" t="s">
        <v>42</v>
      </c>
      <c r="D23" s="10" t="s">
        <v>213</v>
      </c>
    </row>
    <row r="24" customFormat="false" ht="15" hidden="false" customHeight="false" outlineLevel="0" collapsed="false">
      <c r="A24" s="16" t="s">
        <v>214</v>
      </c>
      <c r="B24" s="24" t="n">
        <f aca="false">SQRT(s1_kax/c_max)/(2*PI())</f>
        <v>1576.02871914394</v>
      </c>
      <c r="C24" s="1" t="s">
        <v>42</v>
      </c>
      <c r="D24" s="10"/>
    </row>
    <row r="25" customFormat="false" ht="15" hidden="false" customHeight="false" outlineLevel="0" collapsed="false">
      <c r="A25" s="16" t="s">
        <v>215</v>
      </c>
      <c r="B25" s="24" t="n">
        <f aca="false">SQRT(s1_ktor/c_Jeff)/(2*PI())</f>
        <v>245.03961604488</v>
      </c>
      <c r="C25" s="1" t="s">
        <v>42</v>
      </c>
      <c r="D25" s="1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3" min="2" style="0" width="16"/>
    <col collapsed="false" customWidth="true" hidden="false" outlineLevel="0" max="4" min="4" style="0" width="90"/>
  </cols>
  <sheetData>
    <row r="1" customFormat="false" ht="17.35" hidden="false" customHeight="false" outlineLevel="0" collapsed="false">
      <c r="A1" s="6" t="s">
        <v>216</v>
      </c>
      <c r="B1" s="1"/>
      <c r="C1" s="1"/>
      <c r="D1" s="1"/>
    </row>
    <row r="2" customFormat="false" ht="15" hidden="false" customHeight="false" outlineLevel="0" collapsed="false">
      <c r="A2" s="1"/>
      <c r="B2" s="1"/>
      <c r="C2" s="1"/>
      <c r="D2" s="1"/>
    </row>
    <row r="3" customFormat="false" ht="15" hidden="false" customHeight="false" outlineLevel="0" collapsed="false">
      <c r="A3" s="7" t="s">
        <v>171</v>
      </c>
      <c r="B3" s="7" t="s">
        <v>36</v>
      </c>
      <c r="C3" s="7" t="s">
        <v>37</v>
      </c>
      <c r="D3" s="7" t="s">
        <v>172</v>
      </c>
    </row>
    <row r="4" customFormat="false" ht="15" hidden="false" customHeight="false" outlineLevel="0" collapsed="false">
      <c r="A4" s="8" t="s">
        <v>217</v>
      </c>
      <c r="B4" s="9"/>
      <c r="C4" s="9"/>
      <c r="D4" s="9"/>
    </row>
    <row r="5" customFormat="false" ht="15" hidden="false" customHeight="false" outlineLevel="0" collapsed="false">
      <c r="A5" s="1" t="s">
        <v>218</v>
      </c>
      <c r="B5" s="22" t="n">
        <f aca="false">c_cb</f>
        <v>0.000146677195553491</v>
      </c>
      <c r="C5" s="1" t="s">
        <v>134</v>
      </c>
      <c r="D5" s="10" t="s">
        <v>200</v>
      </c>
    </row>
    <row r="6" customFormat="false" ht="15" hidden="false" customHeight="false" outlineLevel="0" collapsed="false">
      <c r="A6" s="1" t="s">
        <v>219</v>
      </c>
      <c r="B6" s="22" t="n">
        <f aca="false">1/in_Kr</f>
        <v>6.66666666666667E-007</v>
      </c>
      <c r="C6" s="1" t="s">
        <v>134</v>
      </c>
      <c r="D6" s="10" t="s">
        <v>220</v>
      </c>
    </row>
    <row r="7" customFormat="false" ht="15" hidden="false" customHeight="false" outlineLevel="0" collapsed="false">
      <c r="A7" s="1" t="s">
        <v>221</v>
      </c>
      <c r="B7" s="22" t="n">
        <f aca="false">in_Lb^2/in_Kth</f>
        <v>0.000128571428571429</v>
      </c>
      <c r="C7" s="1" t="s">
        <v>134</v>
      </c>
      <c r="D7" s="10" t="s">
        <v>222</v>
      </c>
    </row>
    <row r="8" customFormat="false" ht="15" hidden="false" customHeight="false" outlineLevel="0" collapsed="false">
      <c r="A8" s="1" t="s">
        <v>223</v>
      </c>
      <c r="B8" s="22" t="n">
        <f aca="false">s2_c1+s2_c2+s2_c3</f>
        <v>0.000275915290791586</v>
      </c>
      <c r="C8" s="1" t="s">
        <v>134</v>
      </c>
      <c r="D8" s="10"/>
    </row>
    <row r="9" customFormat="false" ht="15" hidden="false" customHeight="false" outlineLevel="0" collapsed="false">
      <c r="A9" s="1" t="s">
        <v>224</v>
      </c>
      <c r="B9" s="17" t="n">
        <f aca="false">s2_c1/s2_ct</f>
        <v>0.531602272323081</v>
      </c>
      <c r="C9" s="1"/>
      <c r="D9" s="10" t="s">
        <v>225</v>
      </c>
    </row>
    <row r="10" customFormat="false" ht="15" hidden="false" customHeight="false" outlineLevel="0" collapsed="false">
      <c r="A10" s="1" t="s">
        <v>226</v>
      </c>
      <c r="B10" s="17" t="n">
        <f aca="false">s2_c2/s2_ct</f>
        <v>0.0024162005112295</v>
      </c>
      <c r="C10" s="1"/>
      <c r="D10" s="10"/>
    </row>
    <row r="11" customFormat="false" ht="15" hidden="false" customHeight="false" outlineLevel="0" collapsed="false">
      <c r="A11" s="1" t="s">
        <v>227</v>
      </c>
      <c r="B11" s="17" t="n">
        <f aca="false">s2_c3/s2_ct</f>
        <v>0.46598152716569</v>
      </c>
      <c r="C11" s="1"/>
      <c r="D11" s="10" t="s">
        <v>228</v>
      </c>
    </row>
    <row r="12" customFormat="false" ht="15" hidden="false" customHeight="false" outlineLevel="0" collapsed="false">
      <c r="A12" s="8" t="s">
        <v>229</v>
      </c>
      <c r="B12" s="9"/>
      <c r="C12" s="9"/>
      <c r="D12" s="9"/>
    </row>
    <row r="13" customFormat="false" ht="15" hidden="false" customHeight="false" outlineLevel="0" collapsed="false">
      <c r="A13" s="1" t="s">
        <v>206</v>
      </c>
      <c r="B13" s="23" t="n">
        <f aca="false">1/s2_ct</f>
        <v>3624.30076684425</v>
      </c>
      <c r="C13" s="1" t="s">
        <v>83</v>
      </c>
      <c r="D13" s="10" t="s">
        <v>230</v>
      </c>
    </row>
    <row r="14" customFormat="false" ht="15" hidden="false" customHeight="false" outlineLevel="0" collapsed="false">
      <c r="A14" s="1" t="s">
        <v>208</v>
      </c>
      <c r="B14" s="23" t="n">
        <f aca="false">1/(c_cba+1/in_Ka)</f>
        <v>306377.831142272</v>
      </c>
      <c r="C14" s="1" t="s">
        <v>83</v>
      </c>
      <c r="D14" s="10" t="s">
        <v>231</v>
      </c>
    </row>
    <row r="15" customFormat="false" ht="15" hidden="false" customHeight="false" outlineLevel="0" collapsed="false">
      <c r="A15" s="1" t="s">
        <v>210</v>
      </c>
      <c r="B15" s="23" t="n">
        <f aca="false">1/(c_cbt+1/in_Kt)</f>
        <v>27581.0920251274</v>
      </c>
      <c r="C15" s="1" t="s">
        <v>89</v>
      </c>
      <c r="D15" s="10" t="s">
        <v>232</v>
      </c>
    </row>
    <row r="16" customFormat="false" ht="15" hidden="false" customHeight="false" outlineLevel="0" collapsed="false">
      <c r="A16" s="16" t="s">
        <v>212</v>
      </c>
      <c r="B16" s="24" t="n">
        <f aca="false">SQRT(s2_klat/c_mlat)/(2*PI())</f>
        <v>83.2941853559316</v>
      </c>
      <c r="C16" s="1" t="s">
        <v>42</v>
      </c>
      <c r="D16" s="10" t="s">
        <v>233</v>
      </c>
    </row>
    <row r="17" customFormat="false" ht="15" hidden="false" customHeight="false" outlineLevel="0" collapsed="false">
      <c r="A17" s="16" t="s">
        <v>214</v>
      </c>
      <c r="B17" s="24" t="n">
        <f aca="false">SQRT(s2_kax/c_max)/(2*PI())</f>
        <v>762.471263539485</v>
      </c>
      <c r="C17" s="1" t="s">
        <v>42</v>
      </c>
      <c r="D17" s="10"/>
    </row>
    <row r="18" customFormat="false" ht="15" hidden="false" customHeight="false" outlineLevel="0" collapsed="false">
      <c r="A18" s="16" t="s">
        <v>215</v>
      </c>
      <c r="B18" s="24" t="n">
        <f aca="false">SQRT(s2_ktor/c_Jeff)/(2*PI())</f>
        <v>164.081088436435</v>
      </c>
      <c r="C18" s="1" t="s">
        <v>42</v>
      </c>
      <c r="D18" s="10"/>
    </row>
    <row r="19" customFormat="false" ht="15" hidden="false" customHeight="false" outlineLevel="0" collapsed="false">
      <c r="A19" s="1" t="s">
        <v>234</v>
      </c>
      <c r="B19" s="17" t="n">
        <f aca="false">s2_flat/s1_flat-1</f>
        <v>-0.270889396371798</v>
      </c>
      <c r="C19" s="1"/>
      <c r="D19" s="10" t="s">
        <v>235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3" min="2" style="0" width="16"/>
    <col collapsed="false" customWidth="true" hidden="false" outlineLevel="0" max="4" min="4" style="0" width="90"/>
  </cols>
  <sheetData>
    <row r="1" customFormat="false" ht="17.35" hidden="false" customHeight="false" outlineLevel="0" collapsed="false">
      <c r="A1" s="6" t="s">
        <v>236</v>
      </c>
      <c r="B1" s="1"/>
      <c r="C1" s="1"/>
      <c r="D1" s="1"/>
    </row>
    <row r="2" customFormat="false" ht="15" hidden="false" customHeight="false" outlineLevel="0" collapsed="false">
      <c r="A2" s="1"/>
      <c r="B2" s="1"/>
      <c r="C2" s="1"/>
      <c r="D2" s="1"/>
    </row>
    <row r="3" customFormat="false" ht="15" hidden="false" customHeight="false" outlineLevel="0" collapsed="false">
      <c r="A3" s="7" t="s">
        <v>171</v>
      </c>
      <c r="B3" s="7" t="s">
        <v>36</v>
      </c>
      <c r="C3" s="7" t="s">
        <v>37</v>
      </c>
      <c r="D3" s="7" t="s">
        <v>172</v>
      </c>
    </row>
    <row r="4" customFormat="false" ht="15" hidden="false" customHeight="false" outlineLevel="0" collapsed="false">
      <c r="A4" s="8" t="s">
        <v>237</v>
      </c>
      <c r="B4" s="9"/>
      <c r="C4" s="9"/>
      <c r="D4" s="9"/>
    </row>
    <row r="5" customFormat="false" ht="15" hidden="false" customHeight="false" outlineLevel="0" collapsed="false">
      <c r="A5" s="1" t="s">
        <v>238</v>
      </c>
      <c r="B5" s="23" t="n">
        <f aca="false">in_Ep*in_tp^3/(12*(1-in_nup^2))</f>
        <v>14612.0899263083</v>
      </c>
      <c r="C5" s="1" t="s">
        <v>239</v>
      </c>
      <c r="D5" s="10" t="s">
        <v>240</v>
      </c>
    </row>
    <row r="6" customFormat="false" ht="15" hidden="false" customHeight="false" outlineLevel="0" collapsed="false">
      <c r="A6" s="1" t="s">
        <v>241</v>
      </c>
      <c r="B6" s="23" t="n">
        <f aca="false">in_Ep/(2*(1+in_nup))</f>
        <v>3759398.4962406</v>
      </c>
      <c r="C6" s="1" t="s">
        <v>55</v>
      </c>
      <c r="D6" s="10"/>
    </row>
    <row r="7" customFormat="false" ht="15" hidden="false" customHeight="false" outlineLevel="0" collapsed="false">
      <c r="A7" s="1" t="s">
        <v>242</v>
      </c>
      <c r="B7" s="21" t="n">
        <f aca="false">in_bp/in_ap</f>
        <v>0.23125</v>
      </c>
      <c r="C7" s="1" t="s">
        <v>50</v>
      </c>
      <c r="D7" s="10" t="s">
        <v>243</v>
      </c>
    </row>
    <row r="8" customFormat="false" ht="15" hidden="false" customHeight="false" outlineLevel="0" collapsed="false">
      <c r="A8" s="1" t="s">
        <v>244</v>
      </c>
      <c r="B8" s="21" t="n">
        <f aca="false">in_tp/in_ap</f>
        <v>0.0625</v>
      </c>
      <c r="C8" s="1" t="s">
        <v>50</v>
      </c>
      <c r="D8" s="10" t="s">
        <v>245</v>
      </c>
    </row>
    <row r="9" customFormat="false" ht="15" hidden="false" customHeight="false" outlineLevel="0" collapsed="false">
      <c r="A9" s="8" t="s">
        <v>246</v>
      </c>
      <c r="B9" s="9"/>
      <c r="C9" s="9"/>
      <c r="D9" s="9"/>
    </row>
    <row r="10" customFormat="false" ht="15" hidden="false" customHeight="false" outlineLevel="0" collapsed="false">
      <c r="A10" s="1" t="s">
        <v>247</v>
      </c>
      <c r="B10" s="23" t="n">
        <f aca="false">16*PI()*p_D*(1-p_beta^2)/(in_ap^2*((1-p_beta^2)^2-4*p_beta^2*LN(p_beta)^2))</f>
        <v>99364.6855647225</v>
      </c>
      <c r="C10" s="1" t="s">
        <v>83</v>
      </c>
      <c r="D10" s="10" t="s">
        <v>248</v>
      </c>
    </row>
    <row r="11" customFormat="false" ht="15" hidden="false" customHeight="false" outlineLevel="0" collapsed="false">
      <c r="A11" s="1" t="s">
        <v>249</v>
      </c>
      <c r="B11" s="23" t="n">
        <f aca="false">4*PI()*p_D*(1+p_beta^2)/((1+p_beta^2)*LN(1/p_beta)-(1-p_beta^2))</f>
        <v>324544.83752709</v>
      </c>
      <c r="C11" s="1" t="s">
        <v>89</v>
      </c>
      <c r="D11" s="10" t="s">
        <v>250</v>
      </c>
    </row>
    <row r="12" customFormat="false" ht="15" hidden="false" customHeight="false" outlineLevel="0" collapsed="false">
      <c r="A12" s="1" t="s">
        <v>251</v>
      </c>
      <c r="B12" s="23" t="n">
        <f aca="false">4*PI()*p_G*in_tp/(1/in_bp^2-1/in_ap^2)</f>
        <v>10676289.1946082</v>
      </c>
      <c r="C12" s="1" t="s">
        <v>89</v>
      </c>
      <c r="D12" s="10" t="s">
        <v>252</v>
      </c>
    </row>
    <row r="13" customFormat="false" ht="15" hidden="false" customHeight="false" outlineLevel="0" collapsed="false">
      <c r="A13" s="8" t="s">
        <v>217</v>
      </c>
      <c r="B13" s="9"/>
      <c r="C13" s="9"/>
      <c r="D13" s="9"/>
    </row>
    <row r="14" customFormat="false" ht="15" hidden="false" customHeight="false" outlineLevel="0" collapsed="false">
      <c r="A14" s="1" t="s">
        <v>218</v>
      </c>
      <c r="B14" s="22" t="n">
        <f aca="false">c_cb</f>
        <v>0.000146677195553491</v>
      </c>
      <c r="C14" s="1" t="s">
        <v>134</v>
      </c>
      <c r="D14" s="10"/>
    </row>
    <row r="15" customFormat="false" ht="15" hidden="false" customHeight="false" outlineLevel="0" collapsed="false">
      <c r="A15" s="1" t="s">
        <v>219</v>
      </c>
      <c r="B15" s="22" t="n">
        <f aca="false">1/in_Kr</f>
        <v>6.66666666666667E-007</v>
      </c>
      <c r="C15" s="1" t="s">
        <v>134</v>
      </c>
      <c r="D15" s="10"/>
    </row>
    <row r="16" customFormat="false" ht="15" hidden="false" customHeight="false" outlineLevel="0" collapsed="false">
      <c r="A16" s="1" t="s">
        <v>221</v>
      </c>
      <c r="B16" s="22" t="n">
        <f aca="false">in_Lb^2/in_Kth</f>
        <v>0.000128571428571429</v>
      </c>
      <c r="C16" s="1" t="s">
        <v>134</v>
      </c>
      <c r="D16" s="10"/>
    </row>
    <row r="17" customFormat="false" ht="15" hidden="false" customHeight="false" outlineLevel="0" collapsed="false">
      <c r="A17" s="1" t="s">
        <v>253</v>
      </c>
      <c r="B17" s="22" t="n">
        <f aca="false">in_Lb^2/p_Kth</f>
        <v>0.000110924580635164</v>
      </c>
      <c r="C17" s="1" t="s">
        <v>134</v>
      </c>
      <c r="D17" s="10" t="s">
        <v>254</v>
      </c>
    </row>
    <row r="18" customFormat="false" ht="15" hidden="false" customHeight="false" outlineLevel="0" collapsed="false">
      <c r="A18" s="1" t="s">
        <v>223</v>
      </c>
      <c r="B18" s="22" t="n">
        <f aca="false">s3_c1+s3_c2+s3_c3+s3_c4</f>
        <v>0.00038683987142675</v>
      </c>
      <c r="C18" s="1" t="s">
        <v>134</v>
      </c>
      <c r="D18" s="10" t="s">
        <v>255</v>
      </c>
    </row>
    <row r="19" customFormat="false" ht="15" hidden="false" customHeight="false" outlineLevel="0" collapsed="false">
      <c r="A19" s="1" t="s">
        <v>224</v>
      </c>
      <c r="B19" s="17" t="n">
        <f aca="false">s3_c1/s3_ct</f>
        <v>0.379167729046422</v>
      </c>
      <c r="C19" s="1"/>
      <c r="D19" s="10"/>
    </row>
    <row r="20" customFormat="false" ht="15" hidden="false" customHeight="false" outlineLevel="0" collapsed="false">
      <c r="A20" s="1" t="s">
        <v>226</v>
      </c>
      <c r="B20" s="17" t="n">
        <f aca="false">s3_c2/s3_ct</f>
        <v>0.0017233659607213</v>
      </c>
      <c r="C20" s="1"/>
      <c r="D20" s="10"/>
    </row>
    <row r="21" customFormat="false" ht="15" hidden="false" customHeight="false" outlineLevel="0" collapsed="false">
      <c r="A21" s="1" t="s">
        <v>227</v>
      </c>
      <c r="B21" s="17" t="n">
        <f aca="false">s3_c3/s3_ct</f>
        <v>0.332363435281966</v>
      </c>
      <c r="C21" s="1"/>
      <c r="D21" s="10"/>
    </row>
    <row r="22" customFormat="false" ht="15" hidden="false" customHeight="false" outlineLevel="0" collapsed="false">
      <c r="A22" s="1" t="s">
        <v>256</v>
      </c>
      <c r="B22" s="17" t="n">
        <f aca="false">s3_c4/s3_ct</f>
        <v>0.286745469710891</v>
      </c>
      <c r="C22" s="1"/>
      <c r="D22" s="10" t="s">
        <v>257</v>
      </c>
    </row>
    <row r="23" customFormat="false" ht="15" hidden="false" customHeight="false" outlineLevel="0" collapsed="false">
      <c r="A23" s="8" t="s">
        <v>258</v>
      </c>
      <c r="B23" s="9"/>
      <c r="C23" s="9"/>
      <c r="D23" s="9"/>
    </row>
    <row r="24" customFormat="false" ht="15" hidden="false" customHeight="false" outlineLevel="0" collapsed="false">
      <c r="A24" s="1" t="s">
        <v>206</v>
      </c>
      <c r="B24" s="23" t="n">
        <f aca="false">1/s3_ct</f>
        <v>2585.04894108195</v>
      </c>
      <c r="C24" s="1" t="s">
        <v>83</v>
      </c>
      <c r="D24" s="10"/>
    </row>
    <row r="25" customFormat="false" ht="15" hidden="false" customHeight="false" outlineLevel="0" collapsed="false">
      <c r="A25" s="1" t="s">
        <v>208</v>
      </c>
      <c r="B25" s="23" t="n">
        <f aca="false">1/(c_cba+1/in_Ka+1/p_Ka)</f>
        <v>75030.6798078002</v>
      </c>
      <c r="C25" s="1" t="s">
        <v>83</v>
      </c>
      <c r="D25" s="10"/>
    </row>
    <row r="26" customFormat="false" ht="15" hidden="false" customHeight="false" outlineLevel="0" collapsed="false">
      <c r="A26" s="1" t="s">
        <v>210</v>
      </c>
      <c r="B26" s="23" t="n">
        <f aca="false">1/(c_cbt+1/in_Kt+1/p_Kt)</f>
        <v>27510.0227187057</v>
      </c>
      <c r="C26" s="1" t="s">
        <v>89</v>
      </c>
      <c r="D26" s="10"/>
    </row>
    <row r="27" customFormat="false" ht="15" hidden="false" customHeight="false" outlineLevel="0" collapsed="false">
      <c r="A27" s="16" t="s">
        <v>212</v>
      </c>
      <c r="B27" s="24" t="n">
        <f aca="false">SQRT(s3_klat/c_mlat)/(2*PI())</f>
        <v>70.3456026207545</v>
      </c>
      <c r="C27" s="1" t="s">
        <v>42</v>
      </c>
      <c r="D27" s="10" t="s">
        <v>259</v>
      </c>
    </row>
    <row r="28" customFormat="false" ht="15" hidden="false" customHeight="false" outlineLevel="0" collapsed="false">
      <c r="A28" s="16" t="s">
        <v>214</v>
      </c>
      <c r="B28" s="24" t="n">
        <f aca="false">SQRT(s3_kax/c_max)/(2*PI())</f>
        <v>377.323845867506</v>
      </c>
      <c r="C28" s="1" t="s">
        <v>42</v>
      </c>
      <c r="D28" s="10"/>
    </row>
    <row r="29" customFormat="false" ht="15" hidden="false" customHeight="false" outlineLevel="0" collapsed="false">
      <c r="A29" s="16" t="s">
        <v>215</v>
      </c>
      <c r="B29" s="24" t="n">
        <f aca="false">SQRT(s3_ktor/c_Jeff)/(2*PI())</f>
        <v>163.869554919922</v>
      </c>
      <c r="C29" s="1" t="s">
        <v>42</v>
      </c>
      <c r="D29" s="10"/>
    </row>
    <row r="30" customFormat="false" ht="15" hidden="false" customHeight="false" outlineLevel="0" collapsed="false">
      <c r="A30" s="1" t="s">
        <v>260</v>
      </c>
      <c r="B30" s="17" t="n">
        <f aca="false">s3_flat/s2_flat-1</f>
        <v>-0.155456022288295</v>
      </c>
      <c r="C30" s="1"/>
      <c r="D30" s="10" t="s">
        <v>261</v>
      </c>
    </row>
    <row r="31" customFormat="false" ht="15" hidden="false" customHeight="false" outlineLevel="0" collapsed="false">
      <c r="A31" s="8" t="s">
        <v>262</v>
      </c>
      <c r="B31" s="9"/>
      <c r="C31" s="9"/>
      <c r="D31" s="9"/>
    </row>
    <row r="32" customFormat="false" ht="15" hidden="false" customHeight="false" outlineLevel="0" collapsed="false">
      <c r="A32" s="1" t="s">
        <v>263</v>
      </c>
      <c r="B32" s="21"/>
      <c r="C32" s="1"/>
      <c r="D32" s="10" t="s">
        <v>264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3" min="2" style="0" width="16"/>
    <col collapsed="false" customWidth="true" hidden="false" outlineLevel="0" max="4" min="4" style="0" width="90"/>
  </cols>
  <sheetData>
    <row r="1" customFormat="false" ht="17.35" hidden="false" customHeight="false" outlineLevel="0" collapsed="false">
      <c r="A1" s="6" t="s">
        <v>265</v>
      </c>
      <c r="B1" s="1"/>
      <c r="C1" s="1"/>
      <c r="D1" s="1"/>
    </row>
    <row r="2" customFormat="false" ht="15" hidden="false" customHeight="false" outlineLevel="0" collapsed="false">
      <c r="A2" s="1"/>
      <c r="B2" s="1"/>
      <c r="C2" s="1"/>
      <c r="D2" s="1"/>
    </row>
    <row r="3" customFormat="false" ht="15" hidden="false" customHeight="false" outlineLevel="0" collapsed="false">
      <c r="A3" s="7" t="s">
        <v>171</v>
      </c>
      <c r="B3" s="7" t="s">
        <v>36</v>
      </c>
      <c r="C3" s="7" t="s">
        <v>37</v>
      </c>
      <c r="D3" s="7" t="s">
        <v>172</v>
      </c>
    </row>
    <row r="4" customFormat="false" ht="15" hidden="false" customHeight="false" outlineLevel="0" collapsed="false">
      <c r="A4" s="8" t="s">
        <v>266</v>
      </c>
      <c r="B4" s="9"/>
      <c r="C4" s="9"/>
      <c r="D4" s="9"/>
    </row>
    <row r="5" customFormat="false" ht="15" hidden="false" customHeight="false" outlineLevel="0" collapsed="false">
      <c r="A5" s="1" t="s">
        <v>267</v>
      </c>
      <c r="B5" s="21" t="n">
        <f aca="false">in_dm/2*TAN(RADIANS(in_alpha))</f>
        <v>0.190243926626097</v>
      </c>
      <c r="C5" s="1" t="s">
        <v>65</v>
      </c>
      <c r="D5" s="10" t="s">
        <v>268</v>
      </c>
    </row>
    <row r="6" customFormat="false" ht="15" hidden="false" customHeight="false" outlineLevel="0" collapsed="false">
      <c r="A6" s="1" t="s">
        <v>269</v>
      </c>
      <c r="B6" s="21" t="n">
        <f aca="false">in_s0+in_arr*in_dm*TAN(RADIANS(in_alpha))</f>
        <v>0.850487853252194</v>
      </c>
      <c r="C6" s="1" t="s">
        <v>65</v>
      </c>
      <c r="D6" s="10" t="s">
        <v>270</v>
      </c>
    </row>
    <row r="7" customFormat="false" ht="15" hidden="false" customHeight="false" outlineLevel="0" collapsed="false">
      <c r="A7" s="1" t="s">
        <v>271</v>
      </c>
      <c r="B7" s="21" t="n">
        <f aca="false">in_Lb-q_slc0/2</f>
        <v>5.5747560733739</v>
      </c>
      <c r="C7" s="1" t="s">
        <v>65</v>
      </c>
      <c r="D7" s="10" t="s">
        <v>272</v>
      </c>
    </row>
    <row r="8" customFormat="false" ht="15" hidden="false" customHeight="false" outlineLevel="0" collapsed="false">
      <c r="A8" s="1" t="s">
        <v>273</v>
      </c>
      <c r="B8" s="22" t="n">
        <f aca="false">q_L^3/(3*in_Eb*c_I)</f>
        <v>0.000117648516310725</v>
      </c>
      <c r="C8" s="1" t="s">
        <v>134</v>
      </c>
      <c r="D8" s="10" t="s">
        <v>200</v>
      </c>
    </row>
    <row r="9" customFormat="false" ht="15" hidden="false" customHeight="false" outlineLevel="0" collapsed="false">
      <c r="A9" s="8" t="s">
        <v>274</v>
      </c>
      <c r="B9" s="9"/>
      <c r="C9" s="9"/>
      <c r="D9" s="9"/>
    </row>
    <row r="10" customFormat="false" ht="15" hidden="false" customHeight="false" outlineLevel="0" collapsed="false">
      <c r="A10" s="1" t="s">
        <v>275</v>
      </c>
      <c r="B10" s="23" t="n">
        <f aca="false">2*in_kr1</f>
        <v>1500000</v>
      </c>
      <c r="C10" s="1" t="s">
        <v>83</v>
      </c>
      <c r="D10" s="10" t="s">
        <v>276</v>
      </c>
    </row>
    <row r="11" customFormat="false" ht="15" hidden="false" customHeight="false" outlineLevel="0" collapsed="false">
      <c r="A11" s="1" t="s">
        <v>277</v>
      </c>
      <c r="B11" s="17" t="n">
        <f aca="false">2*in_kr1/in_Kr-1</f>
        <v>0</v>
      </c>
      <c r="C11" s="1"/>
      <c r="D11" s="10" t="s">
        <v>278</v>
      </c>
    </row>
    <row r="12" customFormat="false" ht="15" hidden="false" customHeight="false" outlineLevel="0" collapsed="false">
      <c r="A12" s="1" t="s">
        <v>279</v>
      </c>
      <c r="B12" s="23" t="n">
        <f aca="false">in_kr1*q_slc0^2/2+2*in_kth1</f>
        <v>281248.595698572</v>
      </c>
      <c r="C12" s="1" t="s">
        <v>89</v>
      </c>
      <c r="D12" s="10" t="s">
        <v>280</v>
      </c>
    </row>
    <row r="13" customFormat="false" ht="15" hidden="false" customHeight="false" outlineLevel="0" collapsed="false">
      <c r="A13" s="1" t="s">
        <v>281</v>
      </c>
      <c r="B13" s="17" t="n">
        <f aca="false">(in_kr1*q_slc0^2/2+2*in_kth1)/in_Kth-1</f>
        <v>0.00445927035204363</v>
      </c>
      <c r="C13" s="1"/>
      <c r="D13" s="10" t="s">
        <v>282</v>
      </c>
    </row>
    <row r="14" customFormat="false" ht="15" hidden="false" customHeight="false" outlineLevel="0" collapsed="false">
      <c r="A14" s="8" t="s">
        <v>283</v>
      </c>
      <c r="B14" s="9"/>
      <c r="C14" s="9"/>
      <c r="D14" s="9"/>
    </row>
    <row r="15" customFormat="false" ht="15" hidden="false" customHeight="false" outlineLevel="0" collapsed="false">
      <c r="A15" s="1" t="s">
        <v>284</v>
      </c>
      <c r="B15" s="23" t="n">
        <f aca="false">2*in_kr1</f>
        <v>1500000</v>
      </c>
      <c r="C15" s="1" t="s">
        <v>83</v>
      </c>
      <c r="D15" s="10" t="s">
        <v>285</v>
      </c>
    </row>
    <row r="16" customFormat="false" ht="15" hidden="false" customHeight="false" outlineLevel="0" collapsed="false">
      <c r="A16" s="1" t="s">
        <v>286</v>
      </c>
      <c r="B16" s="23" t="n">
        <f aca="false">-in_kr1*q_slc0</f>
        <v>-637865.889939146</v>
      </c>
      <c r="C16" s="1" t="s">
        <v>75</v>
      </c>
      <c r="D16" s="10"/>
    </row>
    <row r="17" customFormat="false" ht="15" hidden="false" customHeight="false" outlineLevel="0" collapsed="false">
      <c r="A17" s="1" t="s">
        <v>287</v>
      </c>
      <c r="B17" s="23" t="n">
        <f aca="false">in_kr1*q_slc0^2+2*in_kth1</f>
        <v>552497.191397145</v>
      </c>
      <c r="C17" s="1" t="s">
        <v>89</v>
      </c>
      <c r="D17" s="10"/>
    </row>
    <row r="18" customFormat="false" ht="15" hidden="false" customHeight="false" outlineLevel="0" collapsed="false">
      <c r="A18" s="1" t="s">
        <v>288</v>
      </c>
      <c r="B18" s="22" t="n">
        <f aca="false">q_K11*q_K22-q_K12^2</f>
        <v>421872893547.858</v>
      </c>
      <c r="C18" s="1"/>
      <c r="D18" s="10"/>
    </row>
    <row r="19" customFormat="false" ht="15" hidden="false" customHeight="false" outlineLevel="0" collapsed="false">
      <c r="A19" s="1" t="s">
        <v>289</v>
      </c>
      <c r="B19" s="22" t="n">
        <f aca="false">(q_K22-2*q_L*q_K12+q_L^2*q_K11)/q_det+in_chr+q_L^2*in_chth</f>
        <v>0.000128667305783041</v>
      </c>
      <c r="C19" s="1" t="s">
        <v>134</v>
      </c>
      <c r="D19" s="10" t="s">
        <v>290</v>
      </c>
    </row>
    <row r="20" customFormat="false" ht="15" hidden="false" customHeight="false" outlineLevel="0" collapsed="false">
      <c r="A20" s="1" t="s">
        <v>206</v>
      </c>
      <c r="B20" s="23" t="n">
        <f aca="false">1/(q_cb+q_cs)</f>
        <v>4059.82852217803</v>
      </c>
      <c r="C20" s="1" t="s">
        <v>83</v>
      </c>
      <c r="D20" s="10"/>
    </row>
    <row r="21" customFormat="false" ht="15" hidden="false" customHeight="false" outlineLevel="0" collapsed="false">
      <c r="A21" s="16" t="s">
        <v>212</v>
      </c>
      <c r="B21" s="24" t="n">
        <f aca="false">SQRT(s4_klat/c_mlat)/(2*PI())</f>
        <v>88.1569212584955</v>
      </c>
      <c r="C21" s="1" t="s">
        <v>42</v>
      </c>
      <c r="D21" s="10" t="s">
        <v>291</v>
      </c>
    </row>
    <row r="22" customFormat="false" ht="15" hidden="false" customHeight="false" outlineLevel="0" collapsed="false">
      <c r="A22" s="1" t="s">
        <v>292</v>
      </c>
      <c r="B22" s="21"/>
      <c r="C22" s="1"/>
      <c r="D22" s="1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4"/>
    <col collapsed="false" customWidth="true" hidden="false" outlineLevel="0" max="5" min="4" style="0" width="16"/>
    <col collapsed="false" customWidth="true" hidden="false" outlineLevel="0" max="10" min="6" style="0" width="14"/>
  </cols>
  <sheetData>
    <row r="1" customFormat="false" ht="17.35" hidden="false" customHeight="false" outlineLevel="0" collapsed="false">
      <c r="A1" s="6" t="s">
        <v>293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10" t="s">
        <v>294</v>
      </c>
      <c r="B2" s="1"/>
      <c r="C2" s="1"/>
      <c r="D2" s="1"/>
      <c r="E2" s="1"/>
      <c r="F2" s="1"/>
      <c r="G2" s="1"/>
      <c r="H2" s="1"/>
      <c r="I2" s="1"/>
      <c r="J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</row>
    <row r="4" customFormat="false" ht="45" hidden="false" customHeight="true" outlineLevel="0" collapsed="false">
      <c r="A4" s="7" t="s">
        <v>295</v>
      </c>
      <c r="B4" s="7" t="s">
        <v>296</v>
      </c>
      <c r="C4" s="7" t="s">
        <v>297</v>
      </c>
      <c r="D4" s="7" t="s">
        <v>298</v>
      </c>
      <c r="E4" s="7" t="s">
        <v>299</v>
      </c>
      <c r="F4" s="7" t="s">
        <v>300</v>
      </c>
      <c r="G4" s="7" t="s">
        <v>301</v>
      </c>
      <c r="H4" s="7" t="s">
        <v>302</v>
      </c>
      <c r="I4" s="7" t="s">
        <v>303</v>
      </c>
      <c r="J4" s="7" t="s">
        <v>304</v>
      </c>
    </row>
    <row r="5" customFormat="false" ht="15" hidden="false" customHeight="false" outlineLevel="0" collapsed="false">
      <c r="A5" s="25" t="n">
        <f aca="false">in_s0+(in_smax-in_s0)*0/15</f>
        <v>0.47</v>
      </c>
      <c r="B5" s="25" t="n">
        <f aca="false">A5+in_arr*in_dm*TAN(RADIANS(in_alpha))</f>
        <v>0.850487853252194</v>
      </c>
      <c r="C5" s="26" t="n">
        <f aca="false">in_kr1*B5^2+2*in_kth1</f>
        <v>552497.191397145</v>
      </c>
      <c r="D5" s="27" t="n">
        <f aca="false">(C5-2*q_L*(-in_kr1*B5)+q_L^2*2*in_kr1)/(2*in_kr1*C5-(-in_kr1*B5)^2)+in_chr+q_L^2*in_chth</f>
        <v>0.000128667305783041</v>
      </c>
      <c r="E5" s="26" t="n">
        <f aca="false">1/(q_cb+D5)</f>
        <v>4059.82852217803</v>
      </c>
      <c r="F5" s="28" t="n">
        <f aca="false">SQRT(E5/c_mlat)/(2*PI())</f>
        <v>88.1569212584955</v>
      </c>
      <c r="G5" s="29" t="n">
        <f aca="false">in_freq</f>
        <v>150</v>
      </c>
      <c r="H5" s="30"/>
      <c r="I5" s="31" t="str">
        <f aca="false">IF(H5="","",H5/F5-1)</f>
        <v/>
      </c>
      <c r="J5" s="31" t="n">
        <f aca="false">D5/(q_cb+D5)</f>
        <v>0.522367197889792</v>
      </c>
    </row>
    <row r="6" customFormat="false" ht="15" hidden="false" customHeight="false" outlineLevel="0" collapsed="false">
      <c r="A6" s="25" t="n">
        <f aca="false">in_s0+(in_smax-in_s0)*1/15</f>
        <v>0.705333333333333</v>
      </c>
      <c r="B6" s="25" t="n">
        <f aca="false">A6+in_arr*in_dm*TAN(RADIANS(in_alpha))</f>
        <v>1.08582118658553</v>
      </c>
      <c r="C6" s="26" t="n">
        <f aca="false">in_kr1*B6^2+2*in_kth1</f>
        <v>894255.736928502</v>
      </c>
      <c r="D6" s="27" t="n">
        <f aca="false">(C6-2*q_L*(-in_kr1*B6)+q_L^2*2*in_kr1)/(2*in_kr1*C6-(-in_kr1*B6)^2)+in_chr+q_L^2*in_chth</f>
        <v>8.34437924642188E-005</v>
      </c>
      <c r="E6" s="26" t="n">
        <f aca="false">1/(q_cb+D6)</f>
        <v>4972.84061281115</v>
      </c>
      <c r="F6" s="28" t="n">
        <f aca="false">SQRT(E6/c_mlat)/(2*PI())</f>
        <v>97.5674241296759</v>
      </c>
      <c r="G6" s="29" t="n">
        <f aca="false">in_freq</f>
        <v>150</v>
      </c>
      <c r="H6" s="30"/>
      <c r="I6" s="31" t="str">
        <f aca="false">IF(H6="","",H6/F6-1)</f>
        <v/>
      </c>
      <c r="J6" s="31" t="n">
        <f aca="false">D6/(q_cb+D6)</f>
        <v>0.414952680053052</v>
      </c>
    </row>
    <row r="7" customFormat="false" ht="15" hidden="false" customHeight="false" outlineLevel="0" collapsed="false">
      <c r="A7" s="25" t="n">
        <f aca="false">in_s0+(in_smax-in_s0)*2/15</f>
        <v>0.940666666666667</v>
      </c>
      <c r="B7" s="25" t="n">
        <f aca="false">A7+in_arr*in_dm*TAN(RADIANS(in_alpha))</f>
        <v>1.32115451991886</v>
      </c>
      <c r="C7" s="26" t="n">
        <f aca="false">in_kr1*B7^2+2*in_kth1</f>
        <v>1319086.94912653</v>
      </c>
      <c r="D7" s="27" t="n">
        <f aca="false">(C7-2*q_L*(-in_kr1*B7)+q_L^2*2*in_kr1)/(2*in_kr1*C7-(-in_kr1*B7)^2)+in_chr+q_L^2*in_chth</f>
        <v>5.91720666381723E-005</v>
      </c>
      <c r="E7" s="26" t="n">
        <f aca="false">1/(q_cb+D7)</f>
        <v>5655.45019319956</v>
      </c>
      <c r="F7" s="28" t="n">
        <f aca="false">SQRT(E7/c_mlat)/(2*PI())</f>
        <v>104.048580708267</v>
      </c>
      <c r="G7" s="29" t="n">
        <f aca="false">in_freq</f>
        <v>150</v>
      </c>
      <c r="H7" s="30"/>
      <c r="I7" s="31" t="str">
        <f aca="false">IF(H7="","",H7/F7-1)</f>
        <v/>
      </c>
      <c r="J7" s="31" t="n">
        <f aca="false">D7/(q_cb+D7)</f>
        <v>0.334644675700869</v>
      </c>
    </row>
    <row r="8" customFormat="false" ht="15" hidden="false" customHeight="false" outlineLevel="0" collapsed="false">
      <c r="A8" s="25" t="n">
        <f aca="false">in_s0+(in_smax-in_s0)*3/15</f>
        <v>1.176</v>
      </c>
      <c r="B8" s="25" t="n">
        <f aca="false">A8+in_arr*in_dm*TAN(RADIANS(in_alpha))</f>
        <v>1.55648785325219</v>
      </c>
      <c r="C8" s="26" t="n">
        <f aca="false">in_kr1*B8^2+2*in_kth1</f>
        <v>1826990.82799122</v>
      </c>
      <c r="D8" s="27" t="n">
        <f aca="false">(C8-2*q_L*(-in_kr1*B8)+q_L^2*2*in_kr1)/(2*in_kr1*C8-(-in_kr1*B8)^2)+in_chr+q_L^2*in_chth</f>
        <v>4.46087575960319E-005</v>
      </c>
      <c r="E8" s="26" t="n">
        <f aca="false">1/(q_cb+D8)</f>
        <v>6163.05189852174</v>
      </c>
      <c r="F8" s="28" t="n">
        <f aca="false">SQRT(E8/c_mlat)/(2*PI())</f>
        <v>108.617669913722</v>
      </c>
      <c r="G8" s="29" t="n">
        <f aca="false">in_freq</f>
        <v>150</v>
      </c>
      <c r="H8" s="30"/>
      <c r="I8" s="31" t="str">
        <f aca="false">IF(H8="","",H8/F8-1)</f>
        <v/>
      </c>
      <c r="J8" s="31" t="n">
        <f aca="false">D8/(q_cb+D8)</f>
        <v>0.27492608819292</v>
      </c>
    </row>
    <row r="9" customFormat="false" ht="15" hidden="false" customHeight="false" outlineLevel="0" collapsed="false">
      <c r="A9" s="25" t="n">
        <f aca="false">in_s0+(in_smax-in_s0)*4/15</f>
        <v>1.41133333333333</v>
      </c>
      <c r="B9" s="25" t="n">
        <f aca="false">A9+in_arr*in_dm*TAN(RADIANS(in_alpha))</f>
        <v>1.79182118658553</v>
      </c>
      <c r="C9" s="26" t="n">
        <f aca="false">in_kr1*B9^2+2*in_kth1</f>
        <v>2417967.37352258</v>
      </c>
      <c r="D9" s="27" t="n">
        <f aca="false">(C9-2*q_L*(-in_kr1*B9)+q_L^2*2*in_kr1)/(2*in_kr1*C9-(-in_kr1*B9)^2)+in_chr+q_L^2*in_chth</f>
        <v>3.5156032189207E-005</v>
      </c>
      <c r="E9" s="26" t="n">
        <f aca="false">1/(q_cb+D9)</f>
        <v>6544.30780900769</v>
      </c>
      <c r="F9" s="28" t="n">
        <f aca="false">SQRT(E9/c_mlat)/(2*PI())</f>
        <v>111.926887919012</v>
      </c>
      <c r="G9" s="29" t="n">
        <f aca="false">in_freq</f>
        <v>150</v>
      </c>
      <c r="H9" s="30"/>
      <c r="I9" s="31" t="str">
        <f aca="false">IF(H9="","",H9/F9-1)</f>
        <v/>
      </c>
      <c r="J9" s="31" t="n">
        <f aca="false">D9/(q_cb+D9)</f>
        <v>0.230071895989553</v>
      </c>
    </row>
    <row r="10" customFormat="false" ht="15" hidden="false" customHeight="false" outlineLevel="0" collapsed="false">
      <c r="A10" s="25" t="n">
        <f aca="false">in_s0+(in_smax-in_s0)*5/15</f>
        <v>1.64666666666667</v>
      </c>
      <c r="B10" s="25" t="n">
        <f aca="false">A10+in_arr*in_dm*TAN(RADIANS(in_alpha))</f>
        <v>2.02715451991886</v>
      </c>
      <c r="C10" s="26" t="n">
        <f aca="false">in_kr1*B10^2+2*in_kth1</f>
        <v>3092016.5857206</v>
      </c>
      <c r="D10" s="27" t="n">
        <f aca="false">(C10-2*q_L*(-in_kr1*B10)+q_L^2*2*in_kr1)/(2*in_kr1*C10-(-in_kr1*B10)^2)+in_chr+q_L^2*in_chth</f>
        <v>2.86524203927563E-005</v>
      </c>
      <c r="E10" s="26" t="n">
        <f aca="false">1/(q_cb+D10)</f>
        <v>6835.22622980037</v>
      </c>
      <c r="F10" s="28" t="n">
        <f aca="false">SQRT(E10/c_mlat)/(2*PI())</f>
        <v>114.387617947817</v>
      </c>
      <c r="G10" s="29" t="n">
        <f aca="false">in_freq</f>
        <v>150</v>
      </c>
      <c r="H10" s="30"/>
      <c r="I10" s="31" t="str">
        <f aca="false">IF(H10="","",H10/F10-1)</f>
        <v/>
      </c>
      <c r="J10" s="31" t="n">
        <f aca="false">D10/(q_cb+D10)</f>
        <v>0.195845775415835</v>
      </c>
    </row>
    <row r="11" customFormat="false" ht="15" hidden="false" customHeight="false" outlineLevel="0" collapsed="false">
      <c r="A11" s="25" t="n">
        <f aca="false">in_s0+(in_smax-in_s0)*6/15</f>
        <v>1.882</v>
      </c>
      <c r="B11" s="25" t="n">
        <f aca="false">A11+in_arr*in_dm*TAN(RADIANS(in_alpha))</f>
        <v>2.26248785325219</v>
      </c>
      <c r="C11" s="26" t="n">
        <f aca="false">in_kr1*B11^2+2*in_kth1</f>
        <v>3849138.46458529</v>
      </c>
      <c r="D11" s="27" t="n">
        <f aca="false">(C11-2*q_L*(-in_kr1*B11)+q_L^2*2*in_kr1)/(2*in_kr1*C11-(-in_kr1*B11)^2)+in_chr+q_L^2*in_chth</f>
        <v>2.39726124950875E-005</v>
      </c>
      <c r="E11" s="26" t="n">
        <f aca="false">1/(q_cb+D11)</f>
        <v>7061.09327352683</v>
      </c>
      <c r="F11" s="28" t="n">
        <f aca="false">SQRT(E11/c_mlat)/(2*PI())</f>
        <v>116.26220186631</v>
      </c>
      <c r="G11" s="29" t="n">
        <f aca="false">in_freq</f>
        <v>150</v>
      </c>
      <c r="H11" s="30"/>
      <c r="I11" s="31" t="str">
        <f aca="false">IF(H11="","",H11/F11-1)</f>
        <v/>
      </c>
      <c r="J11" s="31" t="n">
        <f aca="false">D11/(q_cb+D11)</f>
        <v>0.169272852837928</v>
      </c>
    </row>
    <row r="12" customFormat="false" ht="15" hidden="false" customHeight="false" outlineLevel="0" collapsed="false">
      <c r="A12" s="25" t="n">
        <f aca="false">in_s0+(in_smax-in_s0)*7/15</f>
        <v>2.11733333333333</v>
      </c>
      <c r="B12" s="25" t="n">
        <f aca="false">A12+in_arr*in_dm*TAN(RADIANS(in_alpha))</f>
        <v>2.49782118658553</v>
      </c>
      <c r="C12" s="26" t="n">
        <f aca="false">in_kr1*B12^2+2*in_kth1</f>
        <v>4689333.01011665</v>
      </c>
      <c r="D12" s="27" t="n">
        <f aca="false">(C12-2*q_L*(-in_kr1*B12)+q_L^2*2*in_kr1)/(2*in_kr1*C12-(-in_kr1*B12)^2)+in_chr+q_L^2*in_chth</f>
        <v>2.04832775250753E-005</v>
      </c>
      <c r="E12" s="26" t="n">
        <f aca="false">1/(q_cb+D12)</f>
        <v>7239.46292327686</v>
      </c>
      <c r="F12" s="28" t="n">
        <f aca="false">SQRT(E12/c_mlat)/(2*PI())</f>
        <v>117.721488191762</v>
      </c>
      <c r="G12" s="29" t="n">
        <f aca="false">in_freq</f>
        <v>150</v>
      </c>
      <c r="H12" s="30"/>
      <c r="I12" s="31" t="str">
        <f aca="false">IF(H12="","",H12/F12-1)</f>
        <v/>
      </c>
      <c r="J12" s="31" t="n">
        <f aca="false">D12/(q_cb+D12)</f>
        <v>0.148287928189973</v>
      </c>
    </row>
    <row r="13" customFormat="false" ht="15" hidden="false" customHeight="false" outlineLevel="0" collapsed="false">
      <c r="A13" s="25" t="n">
        <f aca="false">in_s0+(in_smax-in_s0)*8/15</f>
        <v>2.35266666666667</v>
      </c>
      <c r="B13" s="25" t="n">
        <f aca="false">A13+in_arr*in_dm*TAN(RADIANS(in_alpha))</f>
        <v>2.73315451991886</v>
      </c>
      <c r="C13" s="26" t="n">
        <f aca="false">in_kr1*B13^2+2*in_kth1</f>
        <v>5612600.22231468</v>
      </c>
      <c r="D13" s="27" t="n">
        <f aca="false">(C13-2*q_L*(-in_kr1*B13)+q_L^2*2*in_kr1)/(2*in_kr1*C13-(-in_kr1*B13)^2)+in_chr+q_L^2*in_chth</f>
        <v>1.78053948491264E-005</v>
      </c>
      <c r="E13" s="26" t="n">
        <f aca="false">1/(q_cb+D13)</f>
        <v>7382.58490609314</v>
      </c>
      <c r="F13" s="28" t="n">
        <f aca="false">SQRT(E13/c_mlat)/(2*PI())</f>
        <v>118.879452083477</v>
      </c>
      <c r="G13" s="29" t="n">
        <f aca="false">in_freq</f>
        <v>150</v>
      </c>
      <c r="H13" s="30"/>
      <c r="I13" s="31" t="str">
        <f aca="false">IF(H13="","",H13/F13-1)</f>
        <v/>
      </c>
      <c r="J13" s="31" t="n">
        <f aca="false">D13/(q_cb+D13)</f>
        <v>0.131449839260189</v>
      </c>
    </row>
    <row r="14" customFormat="false" ht="15" hidden="false" customHeight="false" outlineLevel="0" collapsed="false">
      <c r="A14" s="25" t="n">
        <f aca="false">in_s0+(in_smax-in_s0)*9/15</f>
        <v>2.588</v>
      </c>
      <c r="B14" s="25" t="n">
        <f aca="false">A14+in_arr*in_dm*TAN(RADIANS(in_alpha))</f>
        <v>2.96848785325219</v>
      </c>
      <c r="C14" s="26" t="n">
        <f aca="false">in_kr1*B14^2+2*in_kth1</f>
        <v>6618940.10117937</v>
      </c>
      <c r="D14" s="27" t="n">
        <f aca="false">(C14-2*q_L*(-in_kr1*B14)+q_L^2*2*in_kr1)/(2*in_kr1*C14-(-in_kr1*B14)^2)+in_chr+q_L^2*in_chth</f>
        <v>1.57005876976124E-005</v>
      </c>
      <c r="E14" s="26" t="n">
        <f aca="false">1/(q_cb+D14)</f>
        <v>7499.11300444491</v>
      </c>
      <c r="F14" s="28" t="n">
        <f aca="false">SQRT(E14/c_mlat)/(2*PI())</f>
        <v>119.813986537241</v>
      </c>
      <c r="G14" s="29" t="n">
        <f aca="false">in_freq</f>
        <v>150</v>
      </c>
      <c r="H14" s="30"/>
      <c r="I14" s="31" t="str">
        <f aca="false">IF(H14="","",H14/F14-1)</f>
        <v/>
      </c>
      <c r="J14" s="31" t="n">
        <f aca="false">D14/(q_cb+D14)</f>
        <v>0.117740481380593</v>
      </c>
    </row>
    <row r="15" customFormat="false" ht="15" hidden="false" customHeight="false" outlineLevel="0" collapsed="false">
      <c r="A15" s="25" t="n">
        <f aca="false">in_s0+(in_smax-in_s0)*10/15</f>
        <v>2.82333333333333</v>
      </c>
      <c r="B15" s="25" t="n">
        <f aca="false">A15+in_arr*in_dm*TAN(RADIANS(in_alpha))</f>
        <v>3.20382118658553</v>
      </c>
      <c r="C15" s="26" t="n">
        <f aca="false">in_kr1*B15^2+2*in_kth1</f>
        <v>7708352.64671072</v>
      </c>
      <c r="D15" s="27" t="n">
        <f aca="false">(C15-2*q_L*(-in_kr1*B15)+q_L^2*2*in_kr1)/(2*in_kr1*C15-(-in_kr1*B15)^2)+in_chr+q_L^2*in_chth</f>
        <v>1.40126607672067E-005</v>
      </c>
      <c r="E15" s="26" t="n">
        <f aca="false">1/(q_cb+D15)</f>
        <v>7595.25337835988</v>
      </c>
      <c r="F15" s="28" t="n">
        <f aca="false">SQRT(E15/c_mlat)/(2*PI())</f>
        <v>120.579562232179</v>
      </c>
      <c r="G15" s="29" t="n">
        <f aca="false">in_freq</f>
        <v>150</v>
      </c>
      <c r="H15" s="30"/>
      <c r="I15" s="31" t="str">
        <f aca="false">IF(H15="","",H15/F15-1)</f>
        <v/>
      </c>
      <c r="J15" s="31" t="n">
        <f aca="false">D15/(q_cb+D15)</f>
        <v>0.106429709031938</v>
      </c>
    </row>
    <row r="16" customFormat="false" ht="15" hidden="false" customHeight="false" outlineLevel="0" collapsed="false">
      <c r="A16" s="25" t="n">
        <f aca="false">in_s0+(in_smax-in_s0)*11/15</f>
        <v>3.05866666666667</v>
      </c>
      <c r="B16" s="25" t="n">
        <f aca="false">A16+in_arr*in_dm*TAN(RADIANS(in_alpha))</f>
        <v>3.43915451991886</v>
      </c>
      <c r="C16" s="26" t="n">
        <f aca="false">in_kr1*B16^2+2*in_kth1</f>
        <v>8880837.85890875</v>
      </c>
      <c r="D16" s="27" t="n">
        <f aca="false">(C16-2*q_L*(-in_kr1*B16)+q_L^2*2*in_kr1)/(2*in_kr1*C16-(-in_kr1*B16)^2)+in_chr+q_L^2*in_chth</f>
        <v>1.26356845752462E-005</v>
      </c>
      <c r="E16" s="26" t="n">
        <f aca="false">1/(q_cb+D16)</f>
        <v>7675.52775547383</v>
      </c>
      <c r="F16" s="28" t="n">
        <f aca="false">SQRT(E16/c_mlat)/(2*PI())</f>
        <v>121.215091257173</v>
      </c>
      <c r="G16" s="29" t="n">
        <f aca="false">in_freq</f>
        <v>150</v>
      </c>
      <c r="H16" s="30"/>
      <c r="I16" s="31" t="str">
        <f aca="false">IF(H16="","",H16/F16-1)</f>
        <v/>
      </c>
      <c r="J16" s="31" t="n">
        <f aca="false">D16/(q_cb+D16)</f>
        <v>0.0969855476667145</v>
      </c>
    </row>
    <row r="17" customFormat="false" ht="15" hidden="false" customHeight="false" outlineLevel="0" collapsed="false">
      <c r="A17" s="25" t="n">
        <f aca="false">in_s0+(in_smax-in_s0)*12/15</f>
        <v>3.294</v>
      </c>
      <c r="B17" s="25" t="n">
        <f aca="false">A17+in_arr*in_dm*TAN(RADIANS(in_alpha))</f>
        <v>3.67448785325219</v>
      </c>
      <c r="C17" s="26" t="n">
        <f aca="false">in_kr1*B17^2+2*in_kth1</f>
        <v>10136395.7377734</v>
      </c>
      <c r="D17" s="27" t="n">
        <f aca="false">(C17-2*q_L*(-in_kr1*B17)+q_L^2*2*in_kr1)/(2*in_kr1*C17-(-in_kr1*B17)^2)+in_chr+q_L^2*in_chth</f>
        <v>1.14956832790338E-005</v>
      </c>
      <c r="E17" s="26" t="n">
        <f aca="false">1/(q_cb+D17)</f>
        <v>7743.28234002466</v>
      </c>
      <c r="F17" s="28" t="n">
        <f aca="false">SQRT(E17/c_mlat)/(2*PI())</f>
        <v>121.74891990558</v>
      </c>
      <c r="G17" s="29" t="n">
        <f aca="false">in_freq</f>
        <v>150</v>
      </c>
      <c r="H17" s="30"/>
      <c r="I17" s="31" t="str">
        <f aca="false">IF(H17="","",H17/F17-1)</f>
        <v/>
      </c>
      <c r="J17" s="31" t="n">
        <f aca="false">D17/(q_cb+D17)</f>
        <v>0.0890143213210595</v>
      </c>
    </row>
    <row r="18" customFormat="false" ht="15" hidden="false" customHeight="false" outlineLevel="0" collapsed="false">
      <c r="A18" s="25" t="n">
        <f aca="false">in_s0+(in_smax-in_s0)*13/15</f>
        <v>3.52933333333333</v>
      </c>
      <c r="B18" s="25" t="n">
        <f aca="false">A18+in_arr*in_dm*TAN(RADIANS(in_alpha))</f>
        <v>3.90982118658553</v>
      </c>
      <c r="C18" s="26" t="n">
        <f aca="false">in_kr1*B18^2+2*in_kth1</f>
        <v>11475026.2833048</v>
      </c>
      <c r="D18" s="27" t="n">
        <f aca="false">(C18-2*q_L*(-in_kr1*B18)+q_L^2*2*in_kr1)/(2*in_kr1*C18-(-in_kr1*B18)^2)+in_chr+q_L^2*in_chth</f>
        <v>1.05396750016196E-005</v>
      </c>
      <c r="E18" s="26" t="n">
        <f aca="false">1/(q_cb+D18)</f>
        <v>7801.03057670413</v>
      </c>
      <c r="F18" s="28" t="n">
        <f aca="false">SQRT(E18/c_mlat)/(2*PI())</f>
        <v>122.202069174392</v>
      </c>
      <c r="G18" s="29" t="n">
        <f aca="false">in_freq</f>
        <v>150</v>
      </c>
      <c r="H18" s="30"/>
      <c r="I18" s="31" t="str">
        <f aca="false">IF(H18="","",H18/F18-1)</f>
        <v/>
      </c>
      <c r="J18" s="31" t="n">
        <f aca="false">D18/(q_cb+D18)</f>
        <v>0.082220326956159</v>
      </c>
    </row>
    <row r="19" customFormat="false" ht="15" hidden="false" customHeight="false" outlineLevel="0" collapsed="false">
      <c r="A19" s="25" t="n">
        <f aca="false">in_s0+(in_smax-in_s0)*14/15</f>
        <v>3.76466666666667</v>
      </c>
      <c r="B19" s="25" t="n">
        <f aca="false">A19+in_arr*in_dm*TAN(RADIANS(in_alpha))</f>
        <v>4.14515451991886</v>
      </c>
      <c r="C19" s="26" t="n">
        <f aca="false">in_kr1*B19^2+2*in_kth1</f>
        <v>12896729.4955028</v>
      </c>
      <c r="D19" s="27" t="n">
        <f aca="false">(C19-2*q_L*(-in_kr1*B19)+q_L^2*2*in_kr1)/(2*in_kr1*C19-(-in_kr1*B19)^2)+in_chr+q_L^2*in_chth</f>
        <v>9.72887055518673E-006</v>
      </c>
      <c r="E19" s="26" t="n">
        <f aca="false">1/(q_cb+D19)</f>
        <v>7850.68703798018</v>
      </c>
      <c r="F19" s="28" t="n">
        <f aca="false">SQRT(E19/c_mlat)/(2*PI())</f>
        <v>122.590383026267</v>
      </c>
      <c r="G19" s="29" t="n">
        <f aca="false">in_freq</f>
        <v>150</v>
      </c>
      <c r="H19" s="30"/>
      <c r="I19" s="31" t="str">
        <f aca="false">IF(H19="","",H19/F19-1)</f>
        <v/>
      </c>
      <c r="J19" s="31" t="n">
        <f aca="false">D19/(q_cb+D19)</f>
        <v>0.0763783179617915</v>
      </c>
    </row>
    <row r="20" customFormat="false" ht="15" hidden="false" customHeight="false" outlineLevel="0" collapsed="false">
      <c r="A20" s="25" t="n">
        <f aca="false">in_s0+(in_smax-in_s0)*15/15</f>
        <v>4</v>
      </c>
      <c r="B20" s="25" t="n">
        <f aca="false">A20+in_arr*in_dm*TAN(RADIANS(in_alpha))</f>
        <v>4.38048785325219</v>
      </c>
      <c r="C20" s="26" t="n">
        <f aca="false">in_kr1*B20^2+2*in_kth1</f>
        <v>14401505.3743675</v>
      </c>
      <c r="D20" s="27" t="n">
        <f aca="false">(C20-2*q_L*(-in_kr1*B20)+q_L^2*2*in_kr1)/(2*in_kr1*C20-(-in_kr1*B20)^2)+in_chr+q_L^2*in_chth</f>
        <v>9.03431785003879E-006</v>
      </c>
      <c r="E20" s="26" t="n">
        <f aca="false">1/(q_cb+D20)</f>
        <v>7893.72930140617</v>
      </c>
      <c r="F20" s="28" t="n">
        <f aca="false">SQRT(E20/c_mlat)/(2*PI())</f>
        <v>122.925981359936</v>
      </c>
      <c r="G20" s="29" t="n">
        <f aca="false">in_freq</f>
        <v>150</v>
      </c>
      <c r="H20" s="30"/>
      <c r="I20" s="31" t="str">
        <f aca="false">IF(H20="","",H20/F20-1)</f>
        <v/>
      </c>
      <c r="J20" s="31" t="n">
        <f aca="false">D20/(q_cb+D20)</f>
        <v>0.071314459531068</v>
      </c>
    </row>
    <row r="21" customFormat="false" ht="15" hidden="false" customHeight="fals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customFormat="false" ht="15" hidden="false" customHeight="false" outlineLevel="0" collapsed="false">
      <c r="A22" s="10" t="s">
        <v>305</v>
      </c>
      <c r="B22" s="1"/>
      <c r="C22" s="1"/>
      <c r="D22" s="1"/>
      <c r="E22" s="1"/>
      <c r="F22" s="1"/>
      <c r="G22" s="1"/>
      <c r="H22" s="1"/>
      <c r="I22" s="1"/>
      <c r="J22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22"/>
    <col collapsed="false" customWidth="true" hidden="false" outlineLevel="0" max="5" min="4" style="0" width="16"/>
    <col collapsed="false" customWidth="true" hidden="false" outlineLevel="0" max="7" min="6" style="0" width="12"/>
    <col collapsed="false" customWidth="true" hidden="false" outlineLevel="0" max="8" min="8" style="0" width="16"/>
    <col collapsed="false" customWidth="true" hidden="false" outlineLevel="0" max="9" min="9" style="0" width="40"/>
  </cols>
  <sheetData>
    <row r="1" customFormat="false" ht="17.35" hidden="false" customHeight="false" outlineLevel="0" collapsed="false">
      <c r="A1" s="6" t="s">
        <v>306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10" t="s">
        <v>307</v>
      </c>
      <c r="B2" s="1"/>
      <c r="C2" s="1"/>
      <c r="D2" s="1"/>
      <c r="E2" s="1"/>
      <c r="F2" s="1"/>
      <c r="G2" s="1"/>
      <c r="H2" s="1"/>
      <c r="I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</row>
    <row r="4" customFormat="false" ht="15" hidden="false" customHeight="false" outlineLevel="0" collapsed="false">
      <c r="A4" s="7" t="s">
        <v>308</v>
      </c>
      <c r="B4" s="7" t="s">
        <v>309</v>
      </c>
      <c r="C4" s="7" t="s">
        <v>310</v>
      </c>
      <c r="D4" s="7" t="s">
        <v>311</v>
      </c>
      <c r="E4" s="7" t="s">
        <v>164</v>
      </c>
      <c r="F4" s="7" t="s">
        <v>312</v>
      </c>
      <c r="G4" s="7" t="s">
        <v>313</v>
      </c>
      <c r="H4" s="7" t="s">
        <v>314</v>
      </c>
      <c r="I4" s="7" t="s">
        <v>315</v>
      </c>
    </row>
    <row r="5" customFormat="false" ht="15" hidden="false" customHeight="false" outlineLevel="0" collapsed="false">
      <c r="A5" s="32" t="s">
        <v>316</v>
      </c>
      <c r="B5" s="32" t="s">
        <v>317</v>
      </c>
      <c r="C5" s="32" t="s">
        <v>318</v>
      </c>
      <c r="D5" s="33" t="n">
        <f aca="false">s1_klat</f>
        <v>6817.69239060285</v>
      </c>
      <c r="E5" s="34"/>
      <c r="F5" s="31" t="str">
        <f aca="false">IF(E5="","",E5/D5-1)</f>
        <v/>
      </c>
      <c r="G5" s="32" t="str">
        <f aca="false">IF(E5="","—",IF(ABS(F5)&lt;=in_tol,"OK","CHECK"))</f>
        <v>—</v>
      </c>
      <c r="H5" s="32"/>
      <c r="I5" s="35" t="s">
        <v>319</v>
      </c>
    </row>
    <row r="6" customFormat="false" ht="15" hidden="false" customHeight="false" outlineLevel="0" collapsed="false">
      <c r="A6" s="32" t="s">
        <v>316</v>
      </c>
      <c r="B6" s="32" t="s">
        <v>317</v>
      </c>
      <c r="C6" s="32" t="s">
        <v>320</v>
      </c>
      <c r="D6" s="33" t="n">
        <f aca="false">s1_kax</f>
        <v>1308996.93899575</v>
      </c>
      <c r="E6" s="34"/>
      <c r="F6" s="31" t="str">
        <f aca="false">IF(E6="","",E6/D6-1)</f>
        <v/>
      </c>
      <c r="G6" s="32" t="str">
        <f aca="false">IF(E6="","—",IF(ABS(F6)&lt;=in_tol,"OK","CHECK"))</f>
        <v>—</v>
      </c>
      <c r="H6" s="32"/>
      <c r="I6" s="32"/>
    </row>
    <row r="7" customFormat="false" ht="15" hidden="false" customHeight="false" outlineLevel="0" collapsed="false">
      <c r="A7" s="32" t="s">
        <v>316</v>
      </c>
      <c r="B7" s="32" t="s">
        <v>317</v>
      </c>
      <c r="C7" s="32" t="s">
        <v>321</v>
      </c>
      <c r="D7" s="33" t="n">
        <f aca="false">s1_ktor</f>
        <v>61513.014050552</v>
      </c>
      <c r="E7" s="34"/>
      <c r="F7" s="31" t="str">
        <f aca="false">IF(E7="","",E7/D7-1)</f>
        <v/>
      </c>
      <c r="G7" s="32" t="str">
        <f aca="false">IF(E7="","—",IF(ABS(F7)&lt;=in_tol,"OK","CHECK"))</f>
        <v>—</v>
      </c>
      <c r="H7" s="32"/>
      <c r="I7" s="32"/>
    </row>
    <row r="8" customFormat="false" ht="15" hidden="false" customHeight="false" outlineLevel="0" collapsed="false">
      <c r="A8" s="32" t="s">
        <v>316</v>
      </c>
      <c r="B8" s="32" t="s">
        <v>317</v>
      </c>
      <c r="C8" s="32" t="s">
        <v>322</v>
      </c>
      <c r="D8" s="29" t="n">
        <f aca="false">s1_flat</f>
        <v>114.240809201571</v>
      </c>
      <c r="E8" s="30"/>
      <c r="F8" s="31" t="str">
        <f aca="false">IF(E8="","",E8/D8-1)</f>
        <v/>
      </c>
      <c r="G8" s="32" t="str">
        <f aca="false">IF(E8="","—",IF(ABS(F8)&lt;=in_tol,"OK","CHECK"))</f>
        <v>—</v>
      </c>
      <c r="H8" s="32"/>
      <c r="I8" s="32"/>
    </row>
    <row r="9" customFormat="false" ht="15" hidden="false" customHeight="false" outlineLevel="0" collapsed="false">
      <c r="A9" s="32" t="s">
        <v>316</v>
      </c>
      <c r="B9" s="32" t="s">
        <v>317</v>
      </c>
      <c r="C9" s="32" t="s">
        <v>323</v>
      </c>
      <c r="D9" s="29" t="n">
        <f aca="false">s1_fax</f>
        <v>1576.02871914394</v>
      </c>
      <c r="E9" s="30"/>
      <c r="F9" s="31" t="str">
        <f aca="false">IF(E9="","",E9/D9-1)</f>
        <v/>
      </c>
      <c r="G9" s="32" t="str">
        <f aca="false">IF(E9="","—",IF(ABS(F9)&lt;=in_tol,"OK","CHECK"))</f>
        <v>—</v>
      </c>
      <c r="H9" s="32"/>
      <c r="I9" s="32"/>
    </row>
    <row r="10" customFormat="false" ht="15" hidden="false" customHeight="false" outlineLevel="0" collapsed="false">
      <c r="A10" s="36" t="s">
        <v>316</v>
      </c>
      <c r="B10" s="36" t="s">
        <v>317</v>
      </c>
      <c r="C10" s="36" t="s">
        <v>324</v>
      </c>
      <c r="D10" s="37" t="n">
        <f aca="false">s1_ftor</f>
        <v>245.03961604488</v>
      </c>
      <c r="E10" s="38"/>
      <c r="F10" s="39" t="str">
        <f aca="false">IF(E10="","",E10/D10-1)</f>
        <v/>
      </c>
      <c r="G10" s="36" t="str">
        <f aca="false">IF(E10="","—",IF(ABS(F10)&lt;=in_tol,"OK","CHECK"))</f>
        <v>—</v>
      </c>
      <c r="H10" s="36"/>
      <c r="I10" s="36"/>
    </row>
    <row r="11" customFormat="false" ht="15" hidden="false" customHeight="false" outlineLevel="0" collapsed="false">
      <c r="A11" s="32" t="s">
        <v>325</v>
      </c>
      <c r="B11" s="32" t="s">
        <v>326</v>
      </c>
      <c r="C11" s="32" t="s">
        <v>318</v>
      </c>
      <c r="D11" s="33" t="n">
        <f aca="false">s2_klat</f>
        <v>3624.30076684425</v>
      </c>
      <c r="E11" s="34"/>
      <c r="F11" s="31" t="str">
        <f aca="false">IF(E11="","",E11/D11-1)</f>
        <v/>
      </c>
      <c r="G11" s="32" t="str">
        <f aca="false">IF(E11="","—",IF(ABS(F11)&lt;=in_tol,"OK","CHECK"))</f>
        <v>—</v>
      </c>
      <c r="H11" s="32"/>
      <c r="I11" s="35" t="s">
        <v>327</v>
      </c>
    </row>
    <row r="12" customFormat="false" ht="15" hidden="false" customHeight="false" outlineLevel="0" collapsed="false">
      <c r="A12" s="32" t="s">
        <v>325</v>
      </c>
      <c r="B12" s="32" t="s">
        <v>326</v>
      </c>
      <c r="C12" s="32" t="s">
        <v>320</v>
      </c>
      <c r="D12" s="33" t="n">
        <f aca="false">s2_kax</f>
        <v>306377.831142272</v>
      </c>
      <c r="E12" s="34"/>
      <c r="F12" s="31" t="str">
        <f aca="false">IF(E12="","",E12/D12-1)</f>
        <v/>
      </c>
      <c r="G12" s="32" t="str">
        <f aca="false">IF(E12="","—",IF(ABS(F12)&lt;=in_tol,"OK","CHECK"))</f>
        <v>—</v>
      </c>
      <c r="H12" s="32"/>
      <c r="I12" s="32"/>
    </row>
    <row r="13" customFormat="false" ht="15" hidden="false" customHeight="false" outlineLevel="0" collapsed="false">
      <c r="A13" s="32" t="s">
        <v>325</v>
      </c>
      <c r="B13" s="32" t="s">
        <v>326</v>
      </c>
      <c r="C13" s="32" t="s">
        <v>321</v>
      </c>
      <c r="D13" s="33" t="n">
        <f aca="false">s2_ktor</f>
        <v>27581.0920251274</v>
      </c>
      <c r="E13" s="34"/>
      <c r="F13" s="31" t="str">
        <f aca="false">IF(E13="","",E13/D13-1)</f>
        <v/>
      </c>
      <c r="G13" s="32" t="str">
        <f aca="false">IF(E13="","—",IF(ABS(F13)&lt;=in_tol,"OK","CHECK"))</f>
        <v>—</v>
      </c>
      <c r="H13" s="32"/>
      <c r="I13" s="32"/>
    </row>
    <row r="14" customFormat="false" ht="15" hidden="false" customHeight="false" outlineLevel="0" collapsed="false">
      <c r="A14" s="32" t="s">
        <v>325</v>
      </c>
      <c r="B14" s="32" t="s">
        <v>326</v>
      </c>
      <c r="C14" s="32" t="s">
        <v>322</v>
      </c>
      <c r="D14" s="29" t="n">
        <f aca="false">s2_flat</f>
        <v>83.2941853559316</v>
      </c>
      <c r="E14" s="30"/>
      <c r="F14" s="31" t="str">
        <f aca="false">IF(E14="","",E14/D14-1)</f>
        <v/>
      </c>
      <c r="G14" s="32" t="str">
        <f aca="false">IF(E14="","—",IF(ABS(F14)&lt;=in_tol,"OK","CHECK"))</f>
        <v>—</v>
      </c>
      <c r="H14" s="32"/>
      <c r="I14" s="32"/>
    </row>
    <row r="15" customFormat="false" ht="15" hidden="false" customHeight="false" outlineLevel="0" collapsed="false">
      <c r="A15" s="32" t="s">
        <v>325</v>
      </c>
      <c r="B15" s="32" t="s">
        <v>326</v>
      </c>
      <c r="C15" s="32" t="s">
        <v>323</v>
      </c>
      <c r="D15" s="29" t="n">
        <f aca="false">s2_fax</f>
        <v>762.471263539485</v>
      </c>
      <c r="E15" s="30"/>
      <c r="F15" s="31" t="str">
        <f aca="false">IF(E15="","",E15/D15-1)</f>
        <v/>
      </c>
      <c r="G15" s="32" t="str">
        <f aca="false">IF(E15="","—",IF(ABS(F15)&lt;=in_tol,"OK","CHECK"))</f>
        <v>—</v>
      </c>
      <c r="H15" s="32"/>
      <c r="I15" s="32"/>
    </row>
    <row r="16" customFormat="false" ht="15" hidden="false" customHeight="false" outlineLevel="0" collapsed="false">
      <c r="A16" s="36" t="s">
        <v>325</v>
      </c>
      <c r="B16" s="36" t="s">
        <v>326</v>
      </c>
      <c r="C16" s="36" t="s">
        <v>324</v>
      </c>
      <c r="D16" s="37" t="n">
        <f aca="false">s2_ftor</f>
        <v>164.081088436435</v>
      </c>
      <c r="E16" s="38"/>
      <c r="F16" s="39" t="str">
        <f aca="false">IF(E16="","",E16/D16-1)</f>
        <v/>
      </c>
      <c r="G16" s="36" t="str">
        <f aca="false">IF(E16="","—",IF(ABS(F16)&lt;=in_tol,"OK","CHECK"))</f>
        <v>—</v>
      </c>
      <c r="H16" s="36"/>
      <c r="I16" s="36"/>
    </row>
    <row r="17" customFormat="false" ht="15" hidden="false" customHeight="false" outlineLevel="0" collapsed="false">
      <c r="A17" s="32" t="s">
        <v>328</v>
      </c>
      <c r="B17" s="32" t="s">
        <v>329</v>
      </c>
      <c r="C17" s="32" t="s">
        <v>318</v>
      </c>
      <c r="D17" s="33" t="n">
        <f aca="false">s3_klat</f>
        <v>2585.04894108195</v>
      </c>
      <c r="E17" s="34"/>
      <c r="F17" s="31" t="str">
        <f aca="false">IF(E17="","",E17/D17-1)</f>
        <v/>
      </c>
      <c r="G17" s="32" t="str">
        <f aca="false">IF(E17="","—",IF(ABS(F17)&lt;=in_tol,"OK","CHECK"))</f>
        <v>—</v>
      </c>
      <c r="H17" s="32"/>
      <c r="I17" s="35" t="s">
        <v>330</v>
      </c>
    </row>
    <row r="18" customFormat="false" ht="15" hidden="false" customHeight="false" outlineLevel="0" collapsed="false">
      <c r="A18" s="32" t="s">
        <v>328</v>
      </c>
      <c r="B18" s="32" t="s">
        <v>329</v>
      </c>
      <c r="C18" s="32" t="s">
        <v>320</v>
      </c>
      <c r="D18" s="33" t="n">
        <f aca="false">s3_kax</f>
        <v>75030.6798078002</v>
      </c>
      <c r="E18" s="34"/>
      <c r="F18" s="31" t="str">
        <f aca="false">IF(E18="","",E18/D18-1)</f>
        <v/>
      </c>
      <c r="G18" s="32" t="str">
        <f aca="false">IF(E18="","—",IF(ABS(F18)&lt;=in_tol,"OK","CHECK"))</f>
        <v>—</v>
      </c>
      <c r="H18" s="32"/>
      <c r="I18" s="32"/>
    </row>
    <row r="19" customFormat="false" ht="15" hidden="false" customHeight="false" outlineLevel="0" collapsed="false">
      <c r="A19" s="32" t="s">
        <v>328</v>
      </c>
      <c r="B19" s="32" t="s">
        <v>329</v>
      </c>
      <c r="C19" s="32" t="s">
        <v>321</v>
      </c>
      <c r="D19" s="33" t="n">
        <f aca="false">s3_ktor</f>
        <v>27510.0227187057</v>
      </c>
      <c r="E19" s="34"/>
      <c r="F19" s="31" t="str">
        <f aca="false">IF(E19="","",E19/D19-1)</f>
        <v/>
      </c>
      <c r="G19" s="32" t="str">
        <f aca="false">IF(E19="","—",IF(ABS(F19)&lt;=in_tol,"OK","CHECK"))</f>
        <v>—</v>
      </c>
      <c r="H19" s="32"/>
      <c r="I19" s="32"/>
    </row>
    <row r="20" customFormat="false" ht="15" hidden="false" customHeight="false" outlineLevel="0" collapsed="false">
      <c r="A20" s="32" t="s">
        <v>328</v>
      </c>
      <c r="B20" s="32" t="s">
        <v>329</v>
      </c>
      <c r="C20" s="32" t="s">
        <v>322</v>
      </c>
      <c r="D20" s="29" t="n">
        <f aca="false">s3_flat</f>
        <v>70.3456026207545</v>
      </c>
      <c r="E20" s="30"/>
      <c r="F20" s="31" t="str">
        <f aca="false">IF(E20="","",E20/D20-1)</f>
        <v/>
      </c>
      <c r="G20" s="32" t="str">
        <f aca="false">IF(E20="","—",IF(ABS(F20)&lt;=in_tol,"OK","CHECK"))</f>
        <v>—</v>
      </c>
      <c r="H20" s="32"/>
      <c r="I20" s="32"/>
    </row>
    <row r="21" customFormat="false" ht="15" hidden="false" customHeight="false" outlineLevel="0" collapsed="false">
      <c r="A21" s="32" t="s">
        <v>328</v>
      </c>
      <c r="B21" s="32" t="s">
        <v>329</v>
      </c>
      <c r="C21" s="32" t="s">
        <v>323</v>
      </c>
      <c r="D21" s="29" t="n">
        <f aca="false">s3_fax</f>
        <v>377.323845867506</v>
      </c>
      <c r="E21" s="30"/>
      <c r="F21" s="31" t="str">
        <f aca="false">IF(E21="","",E21/D21-1)</f>
        <v/>
      </c>
      <c r="G21" s="32" t="str">
        <f aca="false">IF(E21="","—",IF(ABS(F21)&lt;=in_tol,"OK","CHECK"))</f>
        <v>—</v>
      </c>
      <c r="H21" s="32"/>
      <c r="I21" s="32"/>
    </row>
    <row r="22" customFormat="false" ht="15" hidden="false" customHeight="false" outlineLevel="0" collapsed="false">
      <c r="A22" s="36" t="s">
        <v>328</v>
      </c>
      <c r="B22" s="36" t="s">
        <v>329</v>
      </c>
      <c r="C22" s="36" t="s">
        <v>324</v>
      </c>
      <c r="D22" s="37" t="n">
        <f aca="false">s3_ftor</f>
        <v>163.869554919922</v>
      </c>
      <c r="E22" s="38"/>
      <c r="F22" s="39" t="str">
        <f aca="false">IF(E22="","",E22/D22-1)</f>
        <v/>
      </c>
      <c r="G22" s="36" t="str">
        <f aca="false">IF(E22="","—",IF(ABS(F22)&lt;=in_tol,"OK","CHECK"))</f>
        <v>—</v>
      </c>
      <c r="H22" s="36"/>
      <c r="I22" s="36"/>
    </row>
    <row r="23" customFormat="false" ht="15" hidden="false" customHeight="false" outlineLevel="0" collapsed="false">
      <c r="A23" s="32" t="s">
        <v>331</v>
      </c>
      <c r="B23" s="32" t="s">
        <v>332</v>
      </c>
      <c r="C23" s="32" t="s">
        <v>318</v>
      </c>
      <c r="D23" s="40" t="s">
        <v>333</v>
      </c>
      <c r="E23" s="34"/>
      <c r="F23" s="31"/>
      <c r="G23" s="32"/>
      <c r="H23" s="31" t="str">
        <f aca="false">IF(OR(E23="",E17=""),"",E23/E17-1)</f>
        <v/>
      </c>
      <c r="I23" s="35" t="s">
        <v>334</v>
      </c>
    </row>
    <row r="24" customFormat="false" ht="15" hidden="false" customHeight="false" outlineLevel="0" collapsed="false">
      <c r="A24" s="32" t="s">
        <v>331</v>
      </c>
      <c r="B24" s="32" t="s">
        <v>332</v>
      </c>
      <c r="C24" s="32" t="s">
        <v>320</v>
      </c>
      <c r="D24" s="40" t="s">
        <v>333</v>
      </c>
      <c r="E24" s="34"/>
      <c r="F24" s="31"/>
      <c r="G24" s="32"/>
      <c r="H24" s="31" t="str">
        <f aca="false">IF(OR(E24="",E18=""),"",E24/E18-1)</f>
        <v/>
      </c>
      <c r="I24" s="32"/>
    </row>
    <row r="25" customFormat="false" ht="15" hidden="false" customHeight="false" outlineLevel="0" collapsed="false">
      <c r="A25" s="32" t="s">
        <v>331</v>
      </c>
      <c r="B25" s="32" t="s">
        <v>332</v>
      </c>
      <c r="C25" s="32" t="s">
        <v>321</v>
      </c>
      <c r="D25" s="40" t="s">
        <v>333</v>
      </c>
      <c r="E25" s="34"/>
      <c r="F25" s="31"/>
      <c r="G25" s="32"/>
      <c r="H25" s="31" t="str">
        <f aca="false">IF(OR(E25="",E19=""),"",E25/E19-1)</f>
        <v/>
      </c>
      <c r="I25" s="32"/>
    </row>
    <row r="26" customFormat="false" ht="15" hidden="false" customHeight="false" outlineLevel="0" collapsed="false">
      <c r="A26" s="32" t="s">
        <v>331</v>
      </c>
      <c r="B26" s="32" t="s">
        <v>332</v>
      </c>
      <c r="C26" s="32" t="s">
        <v>322</v>
      </c>
      <c r="D26" s="41" t="s">
        <v>333</v>
      </c>
      <c r="E26" s="30"/>
      <c r="F26" s="31"/>
      <c r="G26" s="32"/>
      <c r="H26" s="31" t="str">
        <f aca="false">IF(OR(E26="",E20=""),"",E26/E20-1)</f>
        <v/>
      </c>
      <c r="I26" s="32"/>
    </row>
    <row r="27" customFormat="false" ht="15" hidden="false" customHeight="false" outlineLevel="0" collapsed="false">
      <c r="A27" s="32" t="s">
        <v>331</v>
      </c>
      <c r="B27" s="32" t="s">
        <v>332</v>
      </c>
      <c r="C27" s="32" t="s">
        <v>323</v>
      </c>
      <c r="D27" s="41" t="s">
        <v>333</v>
      </c>
      <c r="E27" s="30"/>
      <c r="F27" s="31"/>
      <c r="G27" s="32"/>
      <c r="H27" s="31" t="str">
        <f aca="false">IF(OR(E27="",E21=""),"",E27/E21-1)</f>
        <v/>
      </c>
      <c r="I27" s="32"/>
    </row>
    <row r="28" customFormat="false" ht="15" hidden="false" customHeight="false" outlineLevel="0" collapsed="false">
      <c r="A28" s="36" t="s">
        <v>331</v>
      </c>
      <c r="B28" s="36" t="s">
        <v>332</v>
      </c>
      <c r="C28" s="36" t="s">
        <v>324</v>
      </c>
      <c r="D28" s="42" t="s">
        <v>333</v>
      </c>
      <c r="E28" s="38"/>
      <c r="F28" s="39"/>
      <c r="G28" s="36"/>
      <c r="H28" s="39" t="str">
        <f aca="false">IF(OR(E28="",E22=""),"",E28/E22-1)</f>
        <v/>
      </c>
      <c r="I28" s="36"/>
    </row>
    <row r="29" customFormat="false" ht="15" hidden="false" customHeight="false" outlineLevel="0" collapsed="false">
      <c r="A29" s="32" t="s">
        <v>335</v>
      </c>
      <c r="B29" s="32" t="s">
        <v>336</v>
      </c>
      <c r="C29" s="32" t="s">
        <v>318</v>
      </c>
      <c r="D29" s="40" t="s">
        <v>333</v>
      </c>
      <c r="E29" s="34"/>
      <c r="F29" s="31"/>
      <c r="G29" s="32"/>
      <c r="H29" s="31" t="str">
        <f aca="false">IF(OR(E29="",E17=""),"",E29/E17-1)</f>
        <v/>
      </c>
      <c r="I29" s="35" t="s">
        <v>337</v>
      </c>
    </row>
    <row r="30" customFormat="false" ht="15" hidden="false" customHeight="false" outlineLevel="0" collapsed="false">
      <c r="A30" s="32" t="s">
        <v>335</v>
      </c>
      <c r="B30" s="32" t="s">
        <v>336</v>
      </c>
      <c r="C30" s="32" t="s">
        <v>320</v>
      </c>
      <c r="D30" s="40" t="s">
        <v>333</v>
      </c>
      <c r="E30" s="34"/>
      <c r="F30" s="31"/>
      <c r="G30" s="32"/>
      <c r="H30" s="31" t="str">
        <f aca="false">IF(OR(E30="",E18=""),"",E30/E18-1)</f>
        <v/>
      </c>
      <c r="I30" s="32"/>
    </row>
    <row r="31" customFormat="false" ht="15" hidden="false" customHeight="false" outlineLevel="0" collapsed="false">
      <c r="A31" s="32" t="s">
        <v>335</v>
      </c>
      <c r="B31" s="32" t="s">
        <v>336</v>
      </c>
      <c r="C31" s="32" t="s">
        <v>321</v>
      </c>
      <c r="D31" s="40" t="s">
        <v>333</v>
      </c>
      <c r="E31" s="34"/>
      <c r="F31" s="31"/>
      <c r="G31" s="32"/>
      <c r="H31" s="31" t="str">
        <f aca="false">IF(OR(E31="",E19=""),"",E31/E19-1)</f>
        <v/>
      </c>
      <c r="I31" s="32"/>
    </row>
    <row r="32" customFormat="false" ht="15" hidden="false" customHeight="false" outlineLevel="0" collapsed="false">
      <c r="A32" s="32" t="s">
        <v>335</v>
      </c>
      <c r="B32" s="32" t="s">
        <v>336</v>
      </c>
      <c r="C32" s="32" t="s">
        <v>322</v>
      </c>
      <c r="D32" s="41" t="s">
        <v>333</v>
      </c>
      <c r="E32" s="30"/>
      <c r="F32" s="31"/>
      <c r="G32" s="32"/>
      <c r="H32" s="31" t="str">
        <f aca="false">IF(OR(E32="",E20=""),"",E32/E20-1)</f>
        <v/>
      </c>
      <c r="I32" s="32"/>
    </row>
    <row r="33" customFormat="false" ht="15" hidden="false" customHeight="false" outlineLevel="0" collapsed="false">
      <c r="A33" s="32" t="s">
        <v>335</v>
      </c>
      <c r="B33" s="32" t="s">
        <v>336</v>
      </c>
      <c r="C33" s="32" t="s">
        <v>323</v>
      </c>
      <c r="D33" s="41" t="s">
        <v>333</v>
      </c>
      <c r="E33" s="30"/>
      <c r="F33" s="31"/>
      <c r="G33" s="32"/>
      <c r="H33" s="31" t="str">
        <f aca="false">IF(OR(E33="",E21=""),"",E33/E21-1)</f>
        <v/>
      </c>
      <c r="I33" s="32"/>
    </row>
    <row r="34" customFormat="false" ht="15" hidden="false" customHeight="false" outlineLevel="0" collapsed="false">
      <c r="A34" s="36" t="s">
        <v>335</v>
      </c>
      <c r="B34" s="36" t="s">
        <v>336</v>
      </c>
      <c r="C34" s="36" t="s">
        <v>324</v>
      </c>
      <c r="D34" s="42" t="s">
        <v>333</v>
      </c>
      <c r="E34" s="38"/>
      <c r="F34" s="39"/>
      <c r="G34" s="36"/>
      <c r="H34" s="39" t="str">
        <f aca="false">IF(OR(E34="",E22=""),"",E34/E22-1)</f>
        <v/>
      </c>
      <c r="I34" s="36"/>
    </row>
    <row r="35" customFormat="false" ht="15" hidden="false" customHeight="false" outlineLevel="0" collapsed="false">
      <c r="A35" s="32" t="s">
        <v>338</v>
      </c>
      <c r="B35" s="32" t="s">
        <v>339</v>
      </c>
      <c r="C35" s="32" t="s">
        <v>318</v>
      </c>
      <c r="D35" s="33" t="n">
        <f aca="false">s4_klat</f>
        <v>4059.82852217803</v>
      </c>
      <c r="E35" s="34"/>
      <c r="F35" s="31" t="str">
        <f aca="false">IF(E35="","",E35/D35-1)</f>
        <v/>
      </c>
      <c r="G35" s="32" t="str">
        <f aca="false">IF(E35="","—",IF(ABS(F35)&lt;=in_tol,"OK","CHECK"))</f>
        <v>—</v>
      </c>
      <c r="H35" s="32"/>
      <c r="I35" s="35" t="s">
        <v>340</v>
      </c>
    </row>
    <row r="36" customFormat="false" ht="15" hidden="false" customHeight="false" outlineLevel="0" collapsed="false">
      <c r="A36" s="36" t="s">
        <v>338</v>
      </c>
      <c r="B36" s="36" t="s">
        <v>339</v>
      </c>
      <c r="C36" s="36" t="s">
        <v>322</v>
      </c>
      <c r="D36" s="37" t="n">
        <f aca="false">s4_flat</f>
        <v>88.1569212584955</v>
      </c>
      <c r="E36" s="38"/>
      <c r="F36" s="39" t="str">
        <f aca="false">IF(E36="","",E36/D36-1)</f>
        <v/>
      </c>
      <c r="G36" s="36" t="str">
        <f aca="false">IF(E36="","—",IF(ABS(F36)&lt;=in_tol,"OK","CHECK"))</f>
        <v>—</v>
      </c>
      <c r="H36" s="36"/>
      <c r="I36" s="36"/>
    </row>
  </sheetData>
  <conditionalFormatting sqref="G5:G37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1">
      <formula>"CHECK"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2026-10-23T21:49:14Z</dcterms:created>
  <dc:creator>openpyxl</dc:creator>
  <dc:description/>
  <dc:language>en-US</dc:language>
  <cp:lastModifiedBy/>
  <dcterms:modified xsi:type="dcterms:W3CDTF">2026-10-23T15:49:16Z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